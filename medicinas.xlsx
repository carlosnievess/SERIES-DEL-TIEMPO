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SERIES-DEL-TIEMPO\"/>
    </mc:Choice>
  </mc:AlternateContent>
  <xr:revisionPtr revIDLastSave="0" documentId="13_ncr:9_{7C9D6D67-A8A5-444B-BEC8-4497CA998AA1}" xr6:coauthVersionLast="47" xr6:coauthVersionMax="47" xr10:uidLastSave="{00000000-0000-0000-0000-000000000000}"/>
  <bookViews>
    <workbookView xWindow="-120" yWindow="-120" windowWidth="29040" windowHeight="15720" xr2:uid="{DF558EFD-AF54-47B0-BA24-D4ACBF9F143C}"/>
  </bookViews>
  <sheets>
    <sheet name="medicinas" sheetId="1" r:id="rId1"/>
  </sheets>
  <calcPr calcId="0"/>
</workbook>
</file>

<file path=xl/calcChain.xml><?xml version="1.0" encoding="utf-8"?>
<calcChain xmlns="http://schemas.openxmlformats.org/spreadsheetml/2006/main">
  <c r="G8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E193" i="1" l="1"/>
  <c r="F193" i="1" s="1"/>
  <c r="E12" i="1"/>
  <c r="F12" i="1" s="1"/>
  <c r="E48" i="1"/>
  <c r="F48" i="1" s="1"/>
  <c r="E11" i="1"/>
  <c r="F11" i="1" s="1"/>
  <c r="E148" i="1"/>
  <c r="F148" i="1" s="1"/>
  <c r="E108" i="1"/>
  <c r="F108" i="1" s="1"/>
  <c r="E128" i="1"/>
  <c r="F128" i="1" s="1"/>
  <c r="E68" i="1"/>
  <c r="F68" i="1" s="1"/>
  <c r="E168" i="1"/>
  <c r="F168" i="1" s="1"/>
  <c r="E10" i="1"/>
  <c r="F10" i="1" s="1"/>
  <c r="E28" i="1"/>
  <c r="F28" i="1" s="1"/>
  <c r="E188" i="1"/>
  <c r="F188" i="1" s="1"/>
  <c r="E88" i="1"/>
  <c r="F88" i="1" s="1"/>
  <c r="E196" i="1"/>
  <c r="F196" i="1" s="1"/>
  <c r="E116" i="1"/>
  <c r="F116" i="1" s="1"/>
  <c r="E56" i="1"/>
  <c r="F56" i="1" s="1"/>
  <c r="E195" i="1"/>
  <c r="F195" i="1" s="1"/>
  <c r="E135" i="1"/>
  <c r="F135" i="1" s="1"/>
  <c r="E75" i="1"/>
  <c r="F75" i="1" s="1"/>
  <c r="E35" i="1"/>
  <c r="F35" i="1" s="1"/>
  <c r="E15" i="1"/>
  <c r="F15" i="1" s="1"/>
  <c r="E134" i="1"/>
  <c r="F134" i="1" s="1"/>
  <c r="E13" i="1"/>
  <c r="F13" i="1" s="1"/>
  <c r="E8" i="1"/>
  <c r="F8" i="1" s="1"/>
  <c r="E147" i="1"/>
  <c r="F147" i="1" s="1"/>
  <c r="E107" i="1"/>
  <c r="F107" i="1" s="1"/>
  <c r="E67" i="1"/>
  <c r="F67" i="1" s="1"/>
  <c r="E47" i="1"/>
  <c r="F47" i="1" s="1"/>
  <c r="E184" i="1"/>
  <c r="F184" i="1" s="1"/>
  <c r="E164" i="1"/>
  <c r="F164" i="1" s="1"/>
  <c r="E144" i="1"/>
  <c r="F144" i="1" s="1"/>
  <c r="E84" i="1"/>
  <c r="F84" i="1" s="1"/>
  <c r="E64" i="1"/>
  <c r="F64" i="1" s="1"/>
  <c r="E44" i="1"/>
  <c r="F44" i="1" s="1"/>
  <c r="E26" i="1"/>
  <c r="F26" i="1" s="1"/>
  <c r="E183" i="1"/>
  <c r="F183" i="1" s="1"/>
  <c r="E163" i="1"/>
  <c r="F163" i="1" s="1"/>
  <c r="E123" i="1"/>
  <c r="F123" i="1" s="1"/>
  <c r="E83" i="1"/>
  <c r="F83" i="1" s="1"/>
  <c r="E63" i="1"/>
  <c r="F63" i="1" s="1"/>
  <c r="E43" i="1"/>
  <c r="F43" i="1" s="1"/>
  <c r="E25" i="1"/>
  <c r="F25" i="1" s="1"/>
  <c r="E23" i="1"/>
  <c r="F23" i="1" s="1"/>
  <c r="E173" i="1"/>
  <c r="F173" i="1" s="1"/>
  <c r="E162" i="1"/>
  <c r="F162" i="1" s="1"/>
  <c r="E122" i="1"/>
  <c r="F122" i="1" s="1"/>
  <c r="E82" i="1"/>
  <c r="F82" i="1" s="1"/>
  <c r="E53" i="1"/>
  <c r="F53" i="1" s="1"/>
  <c r="E42" i="1"/>
  <c r="F42" i="1" s="1"/>
  <c r="E192" i="1"/>
  <c r="F192" i="1" s="1"/>
  <c r="E181" i="1"/>
  <c r="F181" i="1" s="1"/>
  <c r="E161" i="1"/>
  <c r="F161" i="1" s="1"/>
  <c r="E141" i="1"/>
  <c r="F141" i="1" s="1"/>
  <c r="E121" i="1"/>
  <c r="F121" i="1" s="1"/>
  <c r="E101" i="1"/>
  <c r="F101" i="1" s="1"/>
  <c r="E81" i="1"/>
  <c r="F81" i="1" s="1"/>
  <c r="E52" i="1"/>
  <c r="F52" i="1" s="1"/>
  <c r="E41" i="1"/>
  <c r="F41" i="1" s="1"/>
  <c r="E21" i="1"/>
  <c r="F21" i="1" s="1"/>
  <c r="E104" i="1"/>
  <c r="F104" i="1" s="1"/>
  <c r="E143" i="1"/>
  <c r="F143" i="1" s="1"/>
  <c r="E93" i="1"/>
  <c r="F93" i="1" s="1"/>
  <c r="E191" i="1"/>
  <c r="F191" i="1" s="1"/>
  <c r="E180" i="1"/>
  <c r="F180" i="1" s="1"/>
  <c r="E160" i="1"/>
  <c r="F160" i="1" s="1"/>
  <c r="E140" i="1"/>
  <c r="F140" i="1" s="1"/>
  <c r="E120" i="1"/>
  <c r="F120" i="1" s="1"/>
  <c r="E100" i="1"/>
  <c r="F100" i="1" s="1"/>
  <c r="E80" i="1"/>
  <c r="F80" i="1" s="1"/>
  <c r="E60" i="1"/>
  <c r="F60" i="1" s="1"/>
  <c r="E40" i="1"/>
  <c r="F40" i="1" s="1"/>
  <c r="E20" i="1"/>
  <c r="F20" i="1" s="1"/>
  <c r="E124" i="1"/>
  <c r="F124" i="1" s="1"/>
  <c r="E103" i="1"/>
  <c r="F103" i="1" s="1"/>
  <c r="E24" i="1"/>
  <c r="F24" i="1" s="1"/>
  <c r="E133" i="1"/>
  <c r="F133" i="1" s="1"/>
  <c r="E22" i="1"/>
  <c r="F22" i="1" s="1"/>
  <c r="E199" i="1"/>
  <c r="F199" i="1" s="1"/>
  <c r="E178" i="1"/>
  <c r="F178" i="1" s="1"/>
  <c r="E158" i="1"/>
  <c r="F158" i="1" s="1"/>
  <c r="E138" i="1"/>
  <c r="F138" i="1" s="1"/>
  <c r="E118" i="1"/>
  <c r="F118" i="1" s="1"/>
  <c r="E98" i="1"/>
  <c r="F98" i="1" s="1"/>
  <c r="E78" i="1"/>
  <c r="F78" i="1" s="1"/>
  <c r="E58" i="1"/>
  <c r="F58" i="1" s="1"/>
  <c r="E38" i="1"/>
  <c r="F38" i="1" s="1"/>
  <c r="E19" i="1"/>
  <c r="F19" i="1" s="1"/>
  <c r="E187" i="1"/>
  <c r="F187" i="1" s="1"/>
  <c r="E197" i="1"/>
  <c r="F197" i="1" s="1"/>
  <c r="E177" i="1"/>
  <c r="F177" i="1" s="1"/>
  <c r="E157" i="1"/>
  <c r="F157" i="1" s="1"/>
  <c r="E137" i="1"/>
  <c r="F137" i="1" s="1"/>
  <c r="E117" i="1"/>
  <c r="F117" i="1" s="1"/>
  <c r="E97" i="1"/>
  <c r="F97" i="1" s="1"/>
  <c r="E77" i="1"/>
  <c r="F77" i="1" s="1"/>
  <c r="E57" i="1"/>
  <c r="F57" i="1" s="1"/>
  <c r="E37" i="1"/>
  <c r="F37" i="1" s="1"/>
  <c r="E18" i="1"/>
  <c r="F18" i="1" s="1"/>
  <c r="E17" i="1"/>
  <c r="F17" i="1" s="1"/>
  <c r="E9" i="1"/>
  <c r="F9" i="1" s="1"/>
  <c r="E167" i="1"/>
  <c r="F167" i="1" s="1"/>
  <c r="E87" i="1"/>
  <c r="F87" i="1" s="1"/>
  <c r="E27" i="1"/>
  <c r="F27" i="1" s="1"/>
  <c r="E76" i="1"/>
  <c r="F76" i="1" s="1"/>
  <c r="E127" i="1"/>
  <c r="F127" i="1" s="1"/>
  <c r="E156" i="1"/>
  <c r="F156" i="1" s="1"/>
  <c r="E176" i="1"/>
  <c r="F176" i="1" s="1"/>
  <c r="E136" i="1"/>
  <c r="F136" i="1" s="1"/>
  <c r="E96" i="1"/>
  <c r="F96" i="1" s="1"/>
  <c r="E36" i="1"/>
  <c r="F36" i="1" s="1"/>
  <c r="E175" i="1"/>
  <c r="F175" i="1" s="1"/>
  <c r="E155" i="1"/>
  <c r="F155" i="1" s="1"/>
  <c r="E115" i="1"/>
  <c r="F115" i="1" s="1"/>
  <c r="E95" i="1"/>
  <c r="F95" i="1" s="1"/>
  <c r="E55" i="1"/>
  <c r="F55" i="1" s="1"/>
  <c r="E16" i="1"/>
  <c r="F16" i="1" s="1"/>
  <c r="E194" i="1"/>
  <c r="F194" i="1" s="1"/>
  <c r="E174" i="1"/>
  <c r="F174" i="1" s="1"/>
  <c r="E154" i="1"/>
  <c r="F154" i="1" s="1"/>
  <c r="E114" i="1"/>
  <c r="F114" i="1" s="1"/>
  <c r="E94" i="1"/>
  <c r="F94" i="1" s="1"/>
  <c r="E74" i="1"/>
  <c r="F74" i="1" s="1"/>
  <c r="E54" i="1"/>
  <c r="F54" i="1" s="1"/>
  <c r="E34" i="1"/>
  <c r="F34" i="1" s="1"/>
  <c r="E14" i="1"/>
  <c r="F14" i="1" s="1"/>
  <c r="E153" i="1"/>
  <c r="F153" i="1" s="1"/>
  <c r="E113" i="1"/>
  <c r="F113" i="1" s="1"/>
  <c r="E73" i="1"/>
  <c r="F73" i="1" s="1"/>
  <c r="E33" i="1"/>
  <c r="F33" i="1" s="1"/>
  <c r="E172" i="1"/>
  <c r="F172" i="1" s="1"/>
  <c r="E152" i="1"/>
  <c r="F152" i="1" s="1"/>
  <c r="E112" i="1"/>
  <c r="F112" i="1" s="1"/>
  <c r="E72" i="1"/>
  <c r="F72" i="1" s="1"/>
  <c r="E32" i="1"/>
  <c r="F32" i="1" s="1"/>
  <c r="E171" i="1"/>
  <c r="F171" i="1" s="1"/>
  <c r="E151" i="1"/>
  <c r="F151" i="1" s="1"/>
  <c r="E131" i="1"/>
  <c r="F131" i="1" s="1"/>
  <c r="E111" i="1"/>
  <c r="F111" i="1" s="1"/>
  <c r="E91" i="1"/>
  <c r="F91" i="1" s="1"/>
  <c r="E71" i="1"/>
  <c r="F71" i="1" s="1"/>
  <c r="E51" i="1"/>
  <c r="F51" i="1" s="1"/>
  <c r="E31" i="1"/>
  <c r="F31" i="1" s="1"/>
  <c r="E190" i="1"/>
  <c r="F190" i="1" s="1"/>
  <c r="E170" i="1"/>
  <c r="F170" i="1" s="1"/>
  <c r="E150" i="1"/>
  <c r="F150" i="1" s="1"/>
  <c r="E130" i="1"/>
  <c r="F130" i="1" s="1"/>
  <c r="E110" i="1"/>
  <c r="F110" i="1" s="1"/>
  <c r="E90" i="1"/>
  <c r="F90" i="1" s="1"/>
  <c r="E70" i="1"/>
  <c r="F70" i="1" s="1"/>
  <c r="E50" i="1"/>
  <c r="F50" i="1" s="1"/>
  <c r="E30" i="1"/>
  <c r="F30" i="1" s="1"/>
  <c r="E189" i="1"/>
  <c r="F189" i="1" s="1"/>
  <c r="E169" i="1"/>
  <c r="F169" i="1" s="1"/>
  <c r="E149" i="1"/>
  <c r="F149" i="1" s="1"/>
  <c r="E129" i="1"/>
  <c r="F129" i="1" s="1"/>
  <c r="E109" i="1"/>
  <c r="F109" i="1" s="1"/>
  <c r="E89" i="1"/>
  <c r="F89" i="1" s="1"/>
  <c r="E69" i="1"/>
  <c r="F69" i="1" s="1"/>
  <c r="E49" i="1"/>
  <c r="F49" i="1" s="1"/>
  <c r="E29" i="1"/>
  <c r="F29" i="1" s="1"/>
  <c r="E186" i="1"/>
  <c r="F186" i="1" s="1"/>
  <c r="E166" i="1"/>
  <c r="F166" i="1" s="1"/>
  <c r="E146" i="1"/>
  <c r="F146" i="1" s="1"/>
  <c r="E126" i="1"/>
  <c r="F126" i="1" s="1"/>
  <c r="E106" i="1"/>
  <c r="F106" i="1" s="1"/>
  <c r="E86" i="1"/>
  <c r="F86" i="1" s="1"/>
  <c r="E66" i="1"/>
  <c r="F66" i="1" s="1"/>
  <c r="E46" i="1"/>
  <c r="F46" i="1" s="1"/>
  <c r="E92" i="1"/>
  <c r="F92" i="1" s="1"/>
  <c r="E165" i="1"/>
  <c r="F165" i="1" s="1"/>
  <c r="E125" i="1"/>
  <c r="F125" i="1" s="1"/>
  <c r="E65" i="1"/>
  <c r="F65" i="1" s="1"/>
  <c r="E182" i="1"/>
  <c r="F182" i="1" s="1"/>
  <c r="E142" i="1"/>
  <c r="F142" i="1" s="1"/>
  <c r="E102" i="1"/>
  <c r="F102" i="1" s="1"/>
  <c r="E62" i="1"/>
  <c r="F62" i="1" s="1"/>
  <c r="E132" i="1"/>
  <c r="F132" i="1" s="1"/>
  <c r="E185" i="1"/>
  <c r="F185" i="1" s="1"/>
  <c r="E145" i="1"/>
  <c r="F145" i="1" s="1"/>
  <c r="E105" i="1"/>
  <c r="F105" i="1" s="1"/>
  <c r="E45" i="1"/>
  <c r="F45" i="1" s="1"/>
  <c r="E61" i="1"/>
  <c r="F61" i="1" s="1"/>
  <c r="E179" i="1"/>
  <c r="F179" i="1" s="1"/>
  <c r="E159" i="1"/>
  <c r="F159" i="1" s="1"/>
  <c r="E139" i="1"/>
  <c r="F139" i="1" s="1"/>
  <c r="E119" i="1"/>
  <c r="F119" i="1" s="1"/>
  <c r="E99" i="1"/>
  <c r="F99" i="1" s="1"/>
  <c r="E79" i="1"/>
  <c r="F79" i="1" s="1"/>
  <c r="E59" i="1"/>
  <c r="F59" i="1" s="1"/>
  <c r="E39" i="1"/>
  <c r="F39" i="1" s="1"/>
  <c r="E85" i="1"/>
  <c r="F85" i="1" s="1"/>
  <c r="E198" i="1"/>
  <c r="F198" i="1" s="1"/>
  <c r="M2" i="1" l="1"/>
  <c r="H32" i="1" s="1"/>
  <c r="I32" i="1" s="1"/>
  <c r="M7" i="1"/>
  <c r="H97" i="1" s="1"/>
  <c r="I97" i="1" s="1"/>
  <c r="M6" i="1"/>
  <c r="H168" i="1" s="1"/>
  <c r="I168" i="1" s="1"/>
  <c r="M8" i="1"/>
  <c r="H38" i="1" s="1"/>
  <c r="I38" i="1" s="1"/>
  <c r="M5" i="1"/>
  <c r="H131" i="1" s="1"/>
  <c r="I131" i="1" s="1"/>
  <c r="M3" i="1"/>
  <c r="H69" i="1" s="1"/>
  <c r="I69" i="1" s="1"/>
  <c r="M4" i="1"/>
  <c r="H130" i="1" s="1"/>
  <c r="I130" i="1" s="1"/>
  <c r="M11" i="1"/>
  <c r="H89" i="1" s="1"/>
  <c r="I89" i="1" s="1"/>
  <c r="M9" i="1"/>
  <c r="H75" i="1" s="1"/>
  <c r="I75" i="1" s="1"/>
  <c r="M12" i="1"/>
  <c r="M13" i="1"/>
  <c r="M10" i="1"/>
  <c r="H92" i="1" l="1"/>
  <c r="I92" i="1" s="1"/>
  <c r="H8" i="1"/>
  <c r="I8" i="1" s="1"/>
  <c r="H188" i="1"/>
  <c r="I188" i="1" s="1"/>
  <c r="H68" i="1"/>
  <c r="I68" i="1" s="1"/>
  <c r="H44" i="1"/>
  <c r="I44" i="1" s="1"/>
  <c r="H98" i="1"/>
  <c r="I98" i="1" s="1"/>
  <c r="H146" i="1"/>
  <c r="I146" i="1" s="1"/>
  <c r="H110" i="1"/>
  <c r="I110" i="1" s="1"/>
  <c r="H74" i="1"/>
  <c r="I74" i="1" s="1"/>
  <c r="H194" i="1"/>
  <c r="I194" i="1" s="1"/>
  <c r="H116" i="1"/>
  <c r="I116" i="1" s="1"/>
  <c r="H56" i="1"/>
  <c r="I56" i="1" s="1"/>
  <c r="H80" i="1"/>
  <c r="I80" i="1" s="1"/>
  <c r="H140" i="1"/>
  <c r="I140" i="1" s="1"/>
  <c r="H176" i="1"/>
  <c r="I176" i="1" s="1"/>
  <c r="H49" i="1"/>
  <c r="I49" i="1" s="1"/>
  <c r="H85" i="1"/>
  <c r="I85" i="1" s="1"/>
  <c r="H20" i="1"/>
  <c r="I20" i="1" s="1"/>
  <c r="H13" i="1"/>
  <c r="I13" i="1" s="1"/>
  <c r="H154" i="1"/>
  <c r="I154" i="1" s="1"/>
  <c r="H104" i="1"/>
  <c r="I104" i="1" s="1"/>
  <c r="H10" i="1"/>
  <c r="I10" i="1" s="1"/>
  <c r="H167" i="1"/>
  <c r="I167" i="1" s="1"/>
  <c r="H152" i="1"/>
  <c r="I152" i="1" s="1"/>
  <c r="H94" i="1"/>
  <c r="I94" i="1" s="1"/>
  <c r="H47" i="1"/>
  <c r="I47" i="1" s="1"/>
  <c r="H153" i="1"/>
  <c r="I153" i="1" s="1"/>
  <c r="H195" i="1"/>
  <c r="I195" i="1" s="1"/>
  <c r="H141" i="1"/>
  <c r="I141" i="1" s="1"/>
  <c r="H177" i="1"/>
  <c r="I177" i="1" s="1"/>
  <c r="H164" i="1"/>
  <c r="I164" i="1" s="1"/>
  <c r="H33" i="1"/>
  <c r="I33" i="1" s="1"/>
  <c r="H128" i="1"/>
  <c r="I128" i="1" s="1"/>
  <c r="H117" i="1"/>
  <c r="I117" i="1" s="1"/>
  <c r="H93" i="1"/>
  <c r="I93" i="1" s="1"/>
  <c r="H193" i="1"/>
  <c r="I193" i="1" s="1"/>
  <c r="H166" i="1"/>
  <c r="I166" i="1" s="1"/>
  <c r="H58" i="1"/>
  <c r="I58" i="1" s="1"/>
  <c r="H21" i="1"/>
  <c r="I21" i="1" s="1"/>
  <c r="H118" i="1"/>
  <c r="I118" i="1" s="1"/>
  <c r="H189" i="1"/>
  <c r="I189" i="1" s="1"/>
  <c r="H190" i="1"/>
  <c r="I190" i="1" s="1"/>
  <c r="H60" i="1"/>
  <c r="I60" i="1" s="1"/>
  <c r="H120" i="1"/>
  <c r="I120" i="1" s="1"/>
  <c r="H181" i="1"/>
  <c r="I181" i="1" s="1"/>
  <c r="H48" i="1"/>
  <c r="I48" i="1" s="1"/>
  <c r="H157" i="1"/>
  <c r="I157" i="1" s="1"/>
  <c r="H180" i="1"/>
  <c r="I180" i="1" s="1"/>
  <c r="H73" i="1"/>
  <c r="I73" i="1" s="1"/>
  <c r="H84" i="1"/>
  <c r="I84" i="1" s="1"/>
  <c r="H133" i="1"/>
  <c r="I133" i="1" s="1"/>
  <c r="H107" i="1"/>
  <c r="I107" i="1" s="1"/>
  <c r="H108" i="1"/>
  <c r="I108" i="1" s="1"/>
  <c r="H41" i="1"/>
  <c r="I41" i="1" s="1"/>
  <c r="H24" i="1"/>
  <c r="I24" i="1" s="1"/>
  <c r="H121" i="1"/>
  <c r="I121" i="1" s="1"/>
  <c r="H9" i="1"/>
  <c r="I9" i="1" s="1"/>
  <c r="H81" i="1"/>
  <c r="I81" i="1" s="1"/>
  <c r="H129" i="1"/>
  <c r="I129" i="1" s="1"/>
  <c r="H142" i="1"/>
  <c r="I142" i="1" s="1"/>
  <c r="H83" i="1"/>
  <c r="I83" i="1" s="1"/>
  <c r="H105" i="1"/>
  <c r="I105" i="1" s="1"/>
  <c r="H145" i="1"/>
  <c r="I145" i="1" s="1"/>
  <c r="H173" i="1"/>
  <c r="I173" i="1" s="1"/>
  <c r="H65" i="1"/>
  <c r="I65" i="1" s="1"/>
  <c r="H125" i="1"/>
  <c r="I125" i="1" s="1"/>
  <c r="H11" i="1"/>
  <c r="I11" i="1" s="1"/>
  <c r="H23" i="1"/>
  <c r="I23" i="1" s="1"/>
  <c r="H37" i="1"/>
  <c r="I37" i="1" s="1"/>
  <c r="H119" i="1"/>
  <c r="I119" i="1" s="1"/>
  <c r="H165" i="1"/>
  <c r="I165" i="1" s="1"/>
  <c r="H25" i="1"/>
  <c r="I25" i="1" s="1"/>
  <c r="H27" i="1"/>
  <c r="I27" i="1" s="1"/>
  <c r="H87" i="1"/>
  <c r="I87" i="1" s="1"/>
  <c r="H132" i="1"/>
  <c r="I132" i="1" s="1"/>
  <c r="H185" i="1"/>
  <c r="I185" i="1" s="1"/>
  <c r="H109" i="1"/>
  <c r="I109" i="1" s="1"/>
  <c r="H106" i="1"/>
  <c r="I106" i="1" s="1"/>
  <c r="H179" i="1"/>
  <c r="I179" i="1" s="1"/>
  <c r="H57" i="1"/>
  <c r="I57" i="1" s="1"/>
  <c r="H169" i="1"/>
  <c r="I169" i="1" s="1"/>
  <c r="H99" i="1"/>
  <c r="I99" i="1" s="1"/>
  <c r="H46" i="1"/>
  <c r="I46" i="1" s="1"/>
  <c r="H135" i="1"/>
  <c r="I135" i="1" s="1"/>
  <c r="H144" i="1"/>
  <c r="I144" i="1" s="1"/>
  <c r="H63" i="1"/>
  <c r="I63" i="1" s="1"/>
  <c r="H137" i="1"/>
  <c r="I137" i="1" s="1"/>
  <c r="H86" i="1"/>
  <c r="I86" i="1" s="1"/>
  <c r="H15" i="1"/>
  <c r="I15" i="1" s="1"/>
  <c r="H159" i="1"/>
  <c r="I159" i="1" s="1"/>
  <c r="H171" i="1"/>
  <c r="I171" i="1" s="1"/>
  <c r="H70" i="1"/>
  <c r="I70" i="1" s="1"/>
  <c r="H95" i="1"/>
  <c r="I95" i="1" s="1"/>
  <c r="H197" i="1"/>
  <c r="I197" i="1" s="1"/>
  <c r="H14" i="1"/>
  <c r="I14" i="1" s="1"/>
  <c r="H96" i="1"/>
  <c r="I96" i="1" s="1"/>
  <c r="H111" i="1"/>
  <c r="I111" i="1" s="1"/>
  <c r="H45" i="1"/>
  <c r="I45" i="1" s="1"/>
  <c r="H156" i="1"/>
  <c r="I156" i="1" s="1"/>
  <c r="H143" i="1"/>
  <c r="I143" i="1" s="1"/>
  <c r="H123" i="1"/>
  <c r="I123" i="1" s="1"/>
  <c r="H77" i="1"/>
  <c r="I77" i="1" s="1"/>
  <c r="H122" i="1"/>
  <c r="I122" i="1" s="1"/>
  <c r="H101" i="1"/>
  <c r="I101" i="1" s="1"/>
  <c r="H71" i="1"/>
  <c r="I71" i="1" s="1"/>
  <c r="H161" i="1"/>
  <c r="I161" i="1" s="1"/>
  <c r="H35" i="1"/>
  <c r="I35" i="1" s="1"/>
  <c r="H155" i="1"/>
  <c r="I155" i="1" s="1"/>
  <c r="H182" i="1"/>
  <c r="I182" i="1" s="1"/>
  <c r="H158" i="1"/>
  <c r="I158" i="1" s="1"/>
  <c r="H192" i="1"/>
  <c r="I192" i="1" s="1"/>
  <c r="H36" i="1"/>
  <c r="I36" i="1" s="1"/>
  <c r="H183" i="1"/>
  <c r="I183" i="1" s="1"/>
  <c r="H149" i="1"/>
  <c r="I149" i="1" s="1"/>
  <c r="H82" i="1"/>
  <c r="I82" i="1" s="1"/>
  <c r="H12" i="1"/>
  <c r="I12" i="1" s="1"/>
  <c r="H147" i="1"/>
  <c r="I147" i="1" s="1"/>
  <c r="H29" i="1"/>
  <c r="I29" i="1" s="1"/>
  <c r="H61" i="1"/>
  <c r="I61" i="1" s="1"/>
  <c r="H50" i="1"/>
  <c r="I50" i="1" s="1"/>
  <c r="H26" i="1"/>
  <c r="I26" i="1" s="1"/>
  <c r="H170" i="1"/>
  <c r="I170" i="1" s="1"/>
  <c r="H17" i="1"/>
  <c r="I17" i="1" s="1"/>
  <c r="H51" i="1"/>
  <c r="I51" i="1" s="1"/>
  <c r="H53" i="1"/>
  <c r="I53" i="1" s="1"/>
  <c r="H62" i="1"/>
  <c r="I62" i="1" s="1"/>
  <c r="H39" i="1"/>
  <c r="I39" i="1" s="1"/>
  <c r="H178" i="1"/>
  <c r="I178" i="1" s="1"/>
  <c r="H191" i="1"/>
  <c r="I191" i="1" s="1"/>
  <c r="H113" i="1"/>
  <c r="I113" i="1" s="1"/>
  <c r="H134" i="1"/>
  <c r="I134" i="1" s="1"/>
  <c r="H22" i="1"/>
  <c r="I22" i="1" s="1"/>
  <c r="H34" i="1"/>
  <c r="I34" i="1" s="1"/>
  <c r="H59" i="1"/>
  <c r="I59" i="1" s="1"/>
  <c r="H72" i="1"/>
  <c r="I72" i="1" s="1"/>
  <c r="H31" i="1"/>
  <c r="I31" i="1" s="1"/>
  <c r="H67" i="1"/>
  <c r="I67" i="1" s="1"/>
  <c r="H187" i="1"/>
  <c r="I187" i="1" s="1"/>
  <c r="H127" i="1"/>
  <c r="I127" i="1" s="1"/>
  <c r="H103" i="1"/>
  <c r="I103" i="1" s="1"/>
  <c r="H163" i="1"/>
  <c r="I163" i="1" s="1"/>
  <c r="H79" i="1"/>
  <c r="I79" i="1" s="1"/>
  <c r="H91" i="1"/>
  <c r="I91" i="1" s="1"/>
  <c r="H43" i="1"/>
  <c r="I43" i="1" s="1"/>
  <c r="H199" i="1"/>
  <c r="I199" i="1" s="1"/>
  <c r="H175" i="1"/>
  <c r="I175" i="1" s="1"/>
  <c r="H139" i="1"/>
  <c r="I139" i="1" s="1"/>
  <c r="H151" i="1"/>
  <c r="I151" i="1" s="1"/>
  <c r="H115" i="1"/>
  <c r="I115" i="1" s="1"/>
  <c r="H55" i="1"/>
  <c r="I55" i="1" s="1"/>
  <c r="H19" i="1"/>
  <c r="I19" i="1" s="1"/>
  <c r="H88" i="1"/>
  <c r="I88" i="1" s="1"/>
  <c r="H28" i="1"/>
  <c r="I28" i="1" s="1"/>
  <c r="H196" i="1"/>
  <c r="I196" i="1" s="1"/>
  <c r="H76" i="1"/>
  <c r="I76" i="1" s="1"/>
  <c r="H148" i="1"/>
  <c r="I148" i="1" s="1"/>
  <c r="H112" i="1"/>
  <c r="I112" i="1" s="1"/>
  <c r="H64" i="1"/>
  <c r="I64" i="1" s="1"/>
  <c r="H52" i="1"/>
  <c r="I52" i="1" s="1"/>
  <c r="H160" i="1"/>
  <c r="I160" i="1" s="1"/>
  <c r="H100" i="1"/>
  <c r="I100" i="1" s="1"/>
  <c r="H40" i="1"/>
  <c r="I40" i="1" s="1"/>
  <c r="H136" i="1"/>
  <c r="I136" i="1" s="1"/>
  <c r="H16" i="1"/>
  <c r="I16" i="1" s="1"/>
  <c r="H184" i="1"/>
  <c r="I184" i="1" s="1"/>
  <c r="H172" i="1"/>
  <c r="I172" i="1" s="1"/>
  <c r="H124" i="1"/>
  <c r="I124" i="1" s="1"/>
  <c r="H90" i="1"/>
  <c r="I90" i="1" s="1"/>
  <c r="H30" i="1"/>
  <c r="I30" i="1" s="1"/>
  <c r="H150" i="1"/>
  <c r="I150" i="1" s="1"/>
  <c r="H138" i="1"/>
  <c r="I138" i="1" s="1"/>
  <c r="H78" i="1"/>
  <c r="I78" i="1" s="1"/>
  <c r="H18" i="1"/>
  <c r="I18" i="1" s="1"/>
  <c r="H186" i="1"/>
  <c r="I186" i="1" s="1"/>
  <c r="H102" i="1"/>
  <c r="I102" i="1" s="1"/>
  <c r="H42" i="1"/>
  <c r="I42" i="1" s="1"/>
  <c r="H114" i="1"/>
  <c r="I114" i="1" s="1"/>
  <c r="H198" i="1"/>
  <c r="I198" i="1" s="1"/>
  <c r="H126" i="1"/>
  <c r="I126" i="1" s="1"/>
  <c r="H66" i="1"/>
  <c r="I66" i="1" s="1"/>
  <c r="H54" i="1"/>
  <c r="I54" i="1" s="1"/>
  <c r="H162" i="1"/>
  <c r="I162" i="1" s="1"/>
  <c r="H174" i="1"/>
  <c r="I174" i="1" s="1"/>
</calcChain>
</file>

<file path=xl/sharedStrings.xml><?xml version="1.0" encoding="utf-8"?>
<sst xmlns="http://schemas.openxmlformats.org/spreadsheetml/2006/main" count="213" uniqueCount="213">
  <si>
    <t>Month</t>
  </si>
  <si>
    <t>fecha</t>
  </si>
  <si>
    <t>Cost</t>
  </si>
  <si>
    <t>1991 jul.</t>
  </si>
  <si>
    <t>1991 ago.</t>
  </si>
  <si>
    <t>1991 sep.</t>
  </si>
  <si>
    <t>1991 oct.</t>
  </si>
  <si>
    <t>1991 nov.</t>
  </si>
  <si>
    <t>1991 dic.</t>
  </si>
  <si>
    <t>1992 ene.</t>
  </si>
  <si>
    <t>1992 feb.</t>
  </si>
  <si>
    <t>1992 mar.</t>
  </si>
  <si>
    <t>1992 abr.</t>
  </si>
  <si>
    <t>1992 may.</t>
  </si>
  <si>
    <t>1992 jun.</t>
  </si>
  <si>
    <t>1992 jul.</t>
  </si>
  <si>
    <t>1992 ago.</t>
  </si>
  <si>
    <t>1992 sep.</t>
  </si>
  <si>
    <t>1992 oct.</t>
  </si>
  <si>
    <t>1992 nov.</t>
  </si>
  <si>
    <t>1992 dic.</t>
  </si>
  <si>
    <t>1993 ene.</t>
  </si>
  <si>
    <t>1993 feb.</t>
  </si>
  <si>
    <t>1993 mar.</t>
  </si>
  <si>
    <t>1993 abr.</t>
  </si>
  <si>
    <t>1993 may.</t>
  </si>
  <si>
    <t>1993 jun.</t>
  </si>
  <si>
    <t>1993 jul.</t>
  </si>
  <si>
    <t>1993 ago.</t>
  </si>
  <si>
    <t>1993 sep.</t>
  </si>
  <si>
    <t>1993 oct.</t>
  </si>
  <si>
    <t>1993 nov.</t>
  </si>
  <si>
    <t>1993 dic.</t>
  </si>
  <si>
    <t>1994 ene.</t>
  </si>
  <si>
    <t>1994 feb.</t>
  </si>
  <si>
    <t>1994 mar.</t>
  </si>
  <si>
    <t>1994 abr.</t>
  </si>
  <si>
    <t>1994 may.</t>
  </si>
  <si>
    <t>1994 jun.</t>
  </si>
  <si>
    <t>1994 jul.</t>
  </si>
  <si>
    <t>1994 ago.</t>
  </si>
  <si>
    <t>1994 sep.</t>
  </si>
  <si>
    <t>1994 oct.</t>
  </si>
  <si>
    <t>1994 nov.</t>
  </si>
  <si>
    <t>1994 dic.</t>
  </si>
  <si>
    <t>1995 ene.</t>
  </si>
  <si>
    <t>1995 feb.</t>
  </si>
  <si>
    <t>1995 mar.</t>
  </si>
  <si>
    <t>1995 abr.</t>
  </si>
  <si>
    <t>1995 may.</t>
  </si>
  <si>
    <t>1995 jun.</t>
  </si>
  <si>
    <t>1995 jul.</t>
  </si>
  <si>
    <t>1995 ago.</t>
  </si>
  <si>
    <t>1995 sep.</t>
  </si>
  <si>
    <t>1995 oct.</t>
  </si>
  <si>
    <t>1995 nov.</t>
  </si>
  <si>
    <t>1995 dic.</t>
  </si>
  <si>
    <t>1996 ene.</t>
  </si>
  <si>
    <t>1996 feb.</t>
  </si>
  <si>
    <t>1996 mar.</t>
  </si>
  <si>
    <t>1996 abr.</t>
  </si>
  <si>
    <t>1996 may.</t>
  </si>
  <si>
    <t>1996 jun.</t>
  </si>
  <si>
    <t>1996 jul.</t>
  </si>
  <si>
    <t>1996 ago.</t>
  </si>
  <si>
    <t>1996 sep.</t>
  </si>
  <si>
    <t>1996 oct.</t>
  </si>
  <si>
    <t>1996 nov.</t>
  </si>
  <si>
    <t>1996 dic.</t>
  </si>
  <si>
    <t>1997 ene.</t>
  </si>
  <si>
    <t>1997 feb.</t>
  </si>
  <si>
    <t>1997 mar.</t>
  </si>
  <si>
    <t>1997 abr.</t>
  </si>
  <si>
    <t>1997 may.</t>
  </si>
  <si>
    <t>1997 jun.</t>
  </si>
  <si>
    <t>1997 jul.</t>
  </si>
  <si>
    <t>1997 ago.</t>
  </si>
  <si>
    <t>1997 sep.</t>
  </si>
  <si>
    <t>1997 oct.</t>
  </si>
  <si>
    <t>1997 nov.</t>
  </si>
  <si>
    <t>1997 dic.</t>
  </si>
  <si>
    <t>1998 ene.</t>
  </si>
  <si>
    <t>1998 feb.</t>
  </si>
  <si>
    <t>1998 mar.</t>
  </si>
  <si>
    <t>1998 abr.</t>
  </si>
  <si>
    <t>1998 may.</t>
  </si>
  <si>
    <t>1998 jun.</t>
  </si>
  <si>
    <t>1998 jul.</t>
  </si>
  <si>
    <t>1998 ago.</t>
  </si>
  <si>
    <t>1998 sep.</t>
  </si>
  <si>
    <t>1998 oct.</t>
  </si>
  <si>
    <t>1998 nov.</t>
  </si>
  <si>
    <t>1998 dic.</t>
  </si>
  <si>
    <t>1999 ene.</t>
  </si>
  <si>
    <t>1999 feb.</t>
  </si>
  <si>
    <t>1999 mar.</t>
  </si>
  <si>
    <t>1999 abr.</t>
  </si>
  <si>
    <t>1999 may.</t>
  </si>
  <si>
    <t>1999 jun.</t>
  </si>
  <si>
    <t>1999 jul.</t>
  </si>
  <si>
    <t>1999 ago.</t>
  </si>
  <si>
    <t>1999 sep.</t>
  </si>
  <si>
    <t>1999 oct.</t>
  </si>
  <si>
    <t>1999 nov.</t>
  </si>
  <si>
    <t>1999 dic.</t>
  </si>
  <si>
    <t>2000 ene.</t>
  </si>
  <si>
    <t>2000 feb.</t>
  </si>
  <si>
    <t>2000 mar.</t>
  </si>
  <si>
    <t>2000 abr.</t>
  </si>
  <si>
    <t>2000 may.</t>
  </si>
  <si>
    <t>2000 jun.</t>
  </si>
  <si>
    <t>2000 jul.</t>
  </si>
  <si>
    <t>2000 ago.</t>
  </si>
  <si>
    <t>2000 sep.</t>
  </si>
  <si>
    <t>2000 oct.</t>
  </si>
  <si>
    <t>2000 nov.</t>
  </si>
  <si>
    <t>2000 dic.</t>
  </si>
  <si>
    <t>2001 ene.</t>
  </si>
  <si>
    <t>2001 feb.</t>
  </si>
  <si>
    <t>2001 mar.</t>
  </si>
  <si>
    <t>2001 abr.</t>
  </si>
  <si>
    <t>2001 may.</t>
  </si>
  <si>
    <t>2001 jun.</t>
  </si>
  <si>
    <t>2001 jul.</t>
  </si>
  <si>
    <t>2001 ago.</t>
  </si>
  <si>
    <t>2001 sep.</t>
  </si>
  <si>
    <t>2001 oct.</t>
  </si>
  <si>
    <t>2001 nov.</t>
  </si>
  <si>
    <t>2001 dic.</t>
  </si>
  <si>
    <t>2002 ene.</t>
  </si>
  <si>
    <t>2002 feb.</t>
  </si>
  <si>
    <t>2002 mar.</t>
  </si>
  <si>
    <t>2002 abr.</t>
  </si>
  <si>
    <t>2002 may.</t>
  </si>
  <si>
    <t>2002 jun.</t>
  </si>
  <si>
    <t>2002 jul.</t>
  </si>
  <si>
    <t>2002 ago.</t>
  </si>
  <si>
    <t>2002 sep.</t>
  </si>
  <si>
    <t>2002 oct.</t>
  </si>
  <si>
    <t>2002 nov.</t>
  </si>
  <si>
    <t>2002 dic.</t>
  </si>
  <si>
    <t>2003 ene.</t>
  </si>
  <si>
    <t>2003 feb.</t>
  </si>
  <si>
    <t>2003 mar.</t>
  </si>
  <si>
    <t>2003 abr.</t>
  </si>
  <si>
    <t>2003 may.</t>
  </si>
  <si>
    <t>2003 jun.</t>
  </si>
  <si>
    <t>2003 jul.</t>
  </si>
  <si>
    <t>2003 ago.</t>
  </si>
  <si>
    <t>2003 sep.</t>
  </si>
  <si>
    <t>2003 oct.</t>
  </si>
  <si>
    <t>2003 nov.</t>
  </si>
  <si>
    <t>2003 dic.</t>
  </si>
  <si>
    <t>2004 ene.</t>
  </si>
  <si>
    <t>2004 feb.</t>
  </si>
  <si>
    <t>2004 mar.</t>
  </si>
  <si>
    <t>2004 abr.</t>
  </si>
  <si>
    <t>2004 may.</t>
  </si>
  <si>
    <t>2004 jun.</t>
  </si>
  <si>
    <t>2004 jul.</t>
  </si>
  <si>
    <t>2004 ago.</t>
  </si>
  <si>
    <t>2004 sep.</t>
  </si>
  <si>
    <t>2004 oct.</t>
  </si>
  <si>
    <t>2004 nov.</t>
  </si>
  <si>
    <t>2004 dic.</t>
  </si>
  <si>
    <t>2005 ene.</t>
  </si>
  <si>
    <t>2005 feb.</t>
  </si>
  <si>
    <t>2005 mar.</t>
  </si>
  <si>
    <t>2005 abr.</t>
  </si>
  <si>
    <t>2005 may.</t>
  </si>
  <si>
    <t>2005 jun.</t>
  </si>
  <si>
    <t>2005 jul.</t>
  </si>
  <si>
    <t>2005 ago.</t>
  </si>
  <si>
    <t>2005 sep.</t>
  </si>
  <si>
    <t>2005 oct.</t>
  </si>
  <si>
    <t>2005 nov.</t>
  </si>
  <si>
    <t>2005 dic.</t>
  </si>
  <si>
    <t>2006 ene.</t>
  </si>
  <si>
    <t>2006 feb.</t>
  </si>
  <si>
    <t>2006 mar.</t>
  </si>
  <si>
    <t>2006 abr.</t>
  </si>
  <si>
    <t>2006 may.</t>
  </si>
  <si>
    <t>2006 jun.</t>
  </si>
  <si>
    <t>2006 jul.</t>
  </si>
  <si>
    <t>2006 ago.</t>
  </si>
  <si>
    <t>2006 sep.</t>
  </si>
  <si>
    <t>2006 oct.</t>
  </si>
  <si>
    <t>2006 nov.</t>
  </si>
  <si>
    <t>2006 dic.</t>
  </si>
  <si>
    <t>2007 ene.</t>
  </si>
  <si>
    <t>2007 feb.</t>
  </si>
  <si>
    <t>2007 mar.</t>
  </si>
  <si>
    <t>2007 abr.</t>
  </si>
  <si>
    <t>2007 may.</t>
  </si>
  <si>
    <t>2007 jun.</t>
  </si>
  <si>
    <t>2007 jul.</t>
  </si>
  <si>
    <t>2007 ago.</t>
  </si>
  <si>
    <t>2007 sep.</t>
  </si>
  <si>
    <t>2007 oct.</t>
  </si>
  <si>
    <t>2007 nov.</t>
  </si>
  <si>
    <t>2007 dic.</t>
  </si>
  <si>
    <t>2008 ene.</t>
  </si>
  <si>
    <t>2008 feb.</t>
  </si>
  <si>
    <t>2008 mar.</t>
  </si>
  <si>
    <t>2008 abr.</t>
  </si>
  <si>
    <t>2008 may.</t>
  </si>
  <si>
    <t>2008 jun.</t>
  </si>
  <si>
    <t>Media Móvil de orden 3</t>
  </si>
  <si>
    <t>Tendencia</t>
  </si>
  <si>
    <t>Serie sin tendencia</t>
  </si>
  <si>
    <t>Mes</t>
  </si>
  <si>
    <t>Estacionalidad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</si>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</sst>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1" defaultTableStyle="TableStyleMedium2" defaultPivotStyle="PivotStyleLight16">
    <tableStyle name="Invisible" pivot="0" table="0" count="0" xr9:uid="{E6DA9046-B20D-473A-A114-12809B358D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Serie, media y 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medicinas!$C$2:$C$205</c:f>
              <c:numCache>
                <c:formatCode>General</c:formatCode>
                <c:ptCount val="204"/>
                <c:pt idx="0">
                  <c:v>0.42979499999999998</c:v>
                </c:pt>
                <c:pt idx="1">
                  <c:v>0.40090599999999998</c:v>
                </c:pt>
                <c:pt idx="2">
                  <c:v>0.43215900000000002</c:v>
                </c:pt>
                <c:pt idx="3">
                  <c:v>0.49254300000000001</c:v>
                </c:pt>
                <c:pt idx="4">
                  <c:v>0.50236899999999995</c:v>
                </c:pt>
                <c:pt idx="5">
                  <c:v>0.60265199999999997</c:v>
                </c:pt>
                <c:pt idx="6">
                  <c:v>0.66011900000000001</c:v>
                </c:pt>
                <c:pt idx="7">
                  <c:v>0.33622000000000002</c:v>
                </c:pt>
                <c:pt idx="8">
                  <c:v>0.35134799999999999</c:v>
                </c:pt>
                <c:pt idx="9">
                  <c:v>0.37980799999999998</c:v>
                </c:pt>
                <c:pt idx="10">
                  <c:v>0.36180099999999998</c:v>
                </c:pt>
                <c:pt idx="11">
                  <c:v>0.41053400000000001</c:v>
                </c:pt>
                <c:pt idx="12">
                  <c:v>0.48338866999999902</c:v>
                </c:pt>
                <c:pt idx="13">
                  <c:v>0.47546341999999903</c:v>
                </c:pt>
                <c:pt idx="14">
                  <c:v>0.53476104000000002</c:v>
                </c:pt>
                <c:pt idx="15">
                  <c:v>0.56860613000000004</c:v>
                </c:pt>
                <c:pt idx="16">
                  <c:v>0.59522328999999996</c:v>
                </c:pt>
                <c:pt idx="17">
                  <c:v>0.77125778</c:v>
                </c:pt>
                <c:pt idx="18">
                  <c:v>0.75150280000000003</c:v>
                </c:pt>
                <c:pt idx="19">
                  <c:v>0.38755434</c:v>
                </c:pt>
                <c:pt idx="20">
                  <c:v>0.42728322000000002</c:v>
                </c:pt>
                <c:pt idx="21">
                  <c:v>0.41389018</c:v>
                </c:pt>
                <c:pt idx="22">
                  <c:v>0.42885881999999997</c:v>
                </c:pt>
                <c:pt idx="23">
                  <c:v>0.47012641999999999</c:v>
                </c:pt>
                <c:pt idx="24">
                  <c:v>0.50920969000000005</c:v>
                </c:pt>
                <c:pt idx="25">
                  <c:v>0.55844300000000002</c:v>
                </c:pt>
                <c:pt idx="26">
                  <c:v>0.60151405999999996</c:v>
                </c:pt>
                <c:pt idx="27">
                  <c:v>0.63294709999999998</c:v>
                </c:pt>
                <c:pt idx="28">
                  <c:v>0.69960538999999999</c:v>
                </c:pt>
                <c:pt idx="29">
                  <c:v>0.96308050999999995</c:v>
                </c:pt>
                <c:pt idx="30">
                  <c:v>0.81932534000000001</c:v>
                </c:pt>
                <c:pt idx="31">
                  <c:v>0.4376698</c:v>
                </c:pt>
                <c:pt idx="32">
                  <c:v>0.50612126999999996</c:v>
                </c:pt>
                <c:pt idx="33">
                  <c:v>0.47049116999999901</c:v>
                </c:pt>
                <c:pt idx="34">
                  <c:v>0.51069625999999901</c:v>
                </c:pt>
                <c:pt idx="35">
                  <c:v>0.54051378999999999</c:v>
                </c:pt>
                <c:pt idx="36">
                  <c:v>0.55811891999999996</c:v>
                </c:pt>
                <c:pt idx="37">
                  <c:v>0.67285205999999997</c:v>
                </c:pt>
                <c:pt idx="38">
                  <c:v>0.68589738</c:v>
                </c:pt>
                <c:pt idx="39">
                  <c:v>0.68969197999999998</c:v>
                </c:pt>
                <c:pt idx="40">
                  <c:v>0.74130357999999996</c:v>
                </c:pt>
                <c:pt idx="41">
                  <c:v>0.81330762999999995</c:v>
                </c:pt>
                <c:pt idx="42">
                  <c:v>0.80311257000000003</c:v>
                </c:pt>
                <c:pt idx="43">
                  <c:v>0.47525824</c:v>
                </c:pt>
                <c:pt idx="44">
                  <c:v>0.55257229999999902</c:v>
                </c:pt>
                <c:pt idx="45">
                  <c:v>0.52710781999999901</c:v>
                </c:pt>
                <c:pt idx="46">
                  <c:v>0.56124981999999901</c:v>
                </c:pt>
                <c:pt idx="47">
                  <c:v>0.58897763999999997</c:v>
                </c:pt>
                <c:pt idx="48">
                  <c:v>0.62313361999999906</c:v>
                </c:pt>
                <c:pt idx="49">
                  <c:v>0.74083723000000001</c:v>
                </c:pt>
                <c:pt idx="50">
                  <c:v>0.72537176000000003</c:v>
                </c:pt>
                <c:pt idx="51">
                  <c:v>0.81580302000000005</c:v>
                </c:pt>
                <c:pt idx="52">
                  <c:v>0.81400947000000001</c:v>
                </c:pt>
                <c:pt idx="53">
                  <c:v>0.92665304999999998</c:v>
                </c:pt>
                <c:pt idx="54">
                  <c:v>0.93727594000000003</c:v>
                </c:pt>
                <c:pt idx="55">
                  <c:v>0.52876164999999997</c:v>
                </c:pt>
                <c:pt idx="56">
                  <c:v>0.55933993999999998</c:v>
                </c:pt>
                <c:pt idx="57">
                  <c:v>0.57787165999999901</c:v>
                </c:pt>
                <c:pt idx="58">
                  <c:v>0.61492740999999995</c:v>
                </c:pt>
                <c:pt idx="59">
                  <c:v>0.59418877000000003</c:v>
                </c:pt>
                <c:pt idx="60">
                  <c:v>0.70775843999999999</c:v>
                </c:pt>
                <c:pt idx="61">
                  <c:v>0.71950194999999995</c:v>
                </c:pt>
                <c:pt idx="62">
                  <c:v>0.74432368999999998</c:v>
                </c:pt>
                <c:pt idx="63">
                  <c:v>0.80485510999999998</c:v>
                </c:pt>
                <c:pt idx="64">
                  <c:v>0.78854234999999995</c:v>
                </c:pt>
                <c:pt idx="65">
                  <c:v>0.97108939999999999</c:v>
                </c:pt>
                <c:pt idx="66">
                  <c:v>0.84683354</c:v>
                </c:pt>
                <c:pt idx="67">
                  <c:v>0.46382251999999902</c:v>
                </c:pt>
                <c:pt idx="68">
                  <c:v>0.48527316999999998</c:v>
                </c:pt>
                <c:pt idx="69">
                  <c:v>0.52805859999999905</c:v>
                </c:pt>
                <c:pt idx="70">
                  <c:v>0.56233646999999998</c:v>
                </c:pt>
                <c:pt idx="71">
                  <c:v>0.58857040000000005</c:v>
                </c:pt>
                <c:pt idx="72">
                  <c:v>0.66948036</c:v>
                </c:pt>
                <c:pt idx="73">
                  <c:v>0.67799365</c:v>
                </c:pt>
                <c:pt idx="74">
                  <c:v>0.76299549</c:v>
                </c:pt>
                <c:pt idx="75">
                  <c:v>0.79972374000000002</c:v>
                </c:pt>
                <c:pt idx="76">
                  <c:v>0.77052191999999997</c:v>
                </c:pt>
                <c:pt idx="77">
                  <c:v>0.99438934000000001</c:v>
                </c:pt>
                <c:pt idx="78">
                  <c:v>0.80054442999999997</c:v>
                </c:pt>
                <c:pt idx="79">
                  <c:v>0.49055721000000002</c:v>
                </c:pt>
                <c:pt idx="80">
                  <c:v>0.52440799000000005</c:v>
                </c:pt>
                <c:pt idx="81">
                  <c:v>0.53664948000000001</c:v>
                </c:pt>
                <c:pt idx="82">
                  <c:v>0.55209054000000002</c:v>
                </c:pt>
                <c:pt idx="83">
                  <c:v>0.60336564000000004</c:v>
                </c:pt>
                <c:pt idx="84">
                  <c:v>0.68124538000000001</c:v>
                </c:pt>
                <c:pt idx="85">
                  <c:v>0.67807534999999997</c:v>
                </c:pt>
                <c:pt idx="86">
                  <c:v>0.79489264999999998</c:v>
                </c:pt>
                <c:pt idx="87">
                  <c:v>0.78462390000000004</c:v>
                </c:pt>
                <c:pt idx="88">
                  <c:v>0.81300870000000003</c:v>
                </c:pt>
                <c:pt idx="89">
                  <c:v>0.9777323</c:v>
                </c:pt>
                <c:pt idx="90">
                  <c:v>0.89308147999999998</c:v>
                </c:pt>
                <c:pt idx="91">
                  <c:v>0.51269597</c:v>
                </c:pt>
                <c:pt idx="92">
                  <c:v>0.65299589000000002</c:v>
                </c:pt>
                <c:pt idx="93">
                  <c:v>0.57397640000000005</c:v>
                </c:pt>
                <c:pt idx="94">
                  <c:v>0.63923841999999997</c:v>
                </c:pt>
                <c:pt idx="95">
                  <c:v>0.70387188000000001</c:v>
                </c:pt>
                <c:pt idx="96">
                  <c:v>0.77064823999999998</c:v>
                </c:pt>
                <c:pt idx="97">
                  <c:v>0.84618587999999995</c:v>
                </c:pt>
                <c:pt idx="98">
                  <c:v>0.89272889</c:v>
                </c:pt>
                <c:pt idx="99">
                  <c:v>0.89789987999999998</c:v>
                </c:pt>
                <c:pt idx="100">
                  <c:v>0.94728069000000004</c:v>
                </c:pt>
                <c:pt idx="101">
                  <c:v>1.05070727</c:v>
                </c:pt>
                <c:pt idx="102">
                  <c:v>0.96965566999999997</c:v>
                </c:pt>
                <c:pt idx="103">
                  <c:v>0.57329151</c:v>
                </c:pt>
                <c:pt idx="104">
                  <c:v>0.61850684</c:v>
                </c:pt>
                <c:pt idx="105">
                  <c:v>0.61899572999999997</c:v>
                </c:pt>
                <c:pt idx="106">
                  <c:v>0.66520921999999905</c:v>
                </c:pt>
                <c:pt idx="107">
                  <c:v>0.72652015000000003</c:v>
                </c:pt>
                <c:pt idx="108">
                  <c:v>0.85586493999999902</c:v>
                </c:pt>
                <c:pt idx="109">
                  <c:v>0.86598428999999999</c:v>
                </c:pt>
                <c:pt idx="110">
                  <c:v>0.82524883000000004</c:v>
                </c:pt>
                <c:pt idx="111">
                  <c:v>0.95542101999999995</c:v>
                </c:pt>
                <c:pt idx="112">
                  <c:v>0.93859596000000001</c:v>
                </c:pt>
                <c:pt idx="113">
                  <c:v>1.01302442</c:v>
                </c:pt>
                <c:pt idx="114">
                  <c:v>1.04380535</c:v>
                </c:pt>
                <c:pt idx="115">
                  <c:v>0.51064725</c:v>
                </c:pt>
                <c:pt idx="116">
                  <c:v>0.67256900999999902</c:v>
                </c:pt>
                <c:pt idx="117">
                  <c:v>0.64847005999999996</c:v>
                </c:pt>
                <c:pt idx="118">
                  <c:v>0.70411469000000004</c:v>
                </c:pt>
                <c:pt idx="119">
                  <c:v>0.69943074999999999</c:v>
                </c:pt>
                <c:pt idx="120">
                  <c:v>0.85192586999999997</c:v>
                </c:pt>
                <c:pt idx="121">
                  <c:v>0.90770519999999999</c:v>
                </c:pt>
                <c:pt idx="122">
                  <c:v>0.86744447000000002</c:v>
                </c:pt>
                <c:pt idx="123">
                  <c:v>1.0242928099999999</c:v>
                </c:pt>
                <c:pt idx="124">
                  <c:v>1.1095902200000001</c:v>
                </c:pt>
                <c:pt idx="125">
                  <c:v>1.01231323</c:v>
                </c:pt>
                <c:pt idx="126">
                  <c:v>1.14586761</c:v>
                </c:pt>
                <c:pt idx="127">
                  <c:v>0.57558438000000001</c:v>
                </c:pt>
                <c:pt idx="128">
                  <c:v>0.64116459000000003</c:v>
                </c:pt>
                <c:pt idx="129">
                  <c:v>0.67986206999999999</c:v>
                </c:pt>
                <c:pt idx="130">
                  <c:v>0.76793839999999902</c:v>
                </c:pt>
                <c:pt idx="131">
                  <c:v>0.75209590999999998</c:v>
                </c:pt>
                <c:pt idx="132">
                  <c:v>0.91806358999999904</c:v>
                </c:pt>
                <c:pt idx="133">
                  <c:v>0.92436753000000005</c:v>
                </c:pt>
                <c:pt idx="134">
                  <c:v>1.0131976699999901</c:v>
                </c:pt>
                <c:pt idx="135">
                  <c:v>1.02697609</c:v>
                </c:pt>
                <c:pt idx="136">
                  <c:v>1.00679597</c:v>
                </c:pt>
                <c:pt idx="137">
                  <c:v>1.1027756799999999</c:v>
                </c:pt>
                <c:pt idx="138">
                  <c:v>1.07814486999999</c:v>
                </c:pt>
                <c:pt idx="139">
                  <c:v>0.57829618999999999</c:v>
                </c:pt>
                <c:pt idx="140">
                  <c:v>0.64333331999999999</c:v>
                </c:pt>
                <c:pt idx="141">
                  <c:v>0.66336735000000002</c:v>
                </c:pt>
                <c:pt idx="142">
                  <c:v>0.75051599999999996</c:v>
                </c:pt>
                <c:pt idx="143">
                  <c:v>0.80074564000000004</c:v>
                </c:pt>
                <c:pt idx="144">
                  <c:v>0.91636103000000002</c:v>
                </c:pt>
                <c:pt idx="145">
                  <c:v>0.91688681999999999</c:v>
                </c:pt>
                <c:pt idx="146">
                  <c:v>1.08465893</c:v>
                </c:pt>
                <c:pt idx="147">
                  <c:v>1.1506482199999899</c:v>
                </c:pt>
                <c:pt idx="148">
                  <c:v>1.05083821</c:v>
                </c:pt>
                <c:pt idx="149">
                  <c:v>1.22323454</c:v>
                </c:pt>
                <c:pt idx="150">
                  <c:v>1.1301252099999901</c:v>
                </c:pt>
                <c:pt idx="151">
                  <c:v>0.66798866999999995</c:v>
                </c:pt>
                <c:pt idx="152">
                  <c:v>0.74901427999999903</c:v>
                </c:pt>
                <c:pt idx="153">
                  <c:v>0.73998602000000002</c:v>
                </c:pt>
                <c:pt idx="154">
                  <c:v>0.79512863</c:v>
                </c:pt>
                <c:pt idx="155">
                  <c:v>0.85680281999999997</c:v>
                </c:pt>
                <c:pt idx="156">
                  <c:v>1.00159317</c:v>
                </c:pt>
                <c:pt idx="157">
                  <c:v>0.99486432999999996</c:v>
                </c:pt>
                <c:pt idx="158">
                  <c:v>1.1344320000000001</c:v>
                </c:pt>
                <c:pt idx="159">
                  <c:v>1.181011</c:v>
                </c:pt>
                <c:pt idx="160">
                  <c:v>1.216037</c:v>
                </c:pt>
                <c:pt idx="161">
                  <c:v>1.2572380000000001</c:v>
                </c:pt>
                <c:pt idx="162">
                  <c:v>1.17069</c:v>
                </c:pt>
                <c:pt idx="163">
                  <c:v>0.59763900000000003</c:v>
                </c:pt>
                <c:pt idx="164">
                  <c:v>0.65259</c:v>
                </c:pt>
                <c:pt idx="165">
                  <c:v>0.67050500000000002</c:v>
                </c:pt>
                <c:pt idx="166">
                  <c:v>0.69524799999999998</c:v>
                </c:pt>
                <c:pt idx="167">
                  <c:v>0.84226299999999998</c:v>
                </c:pt>
                <c:pt idx="168">
                  <c:v>0.874336</c:v>
                </c:pt>
                <c:pt idx="169">
                  <c:v>1.006497</c:v>
                </c:pt>
                <c:pt idx="170">
                  <c:v>1.0947359999999999</c:v>
                </c:pt>
                <c:pt idx="171">
                  <c:v>1.0270429999999999</c:v>
                </c:pt>
                <c:pt idx="172">
                  <c:v>1.149232</c:v>
                </c:pt>
                <c:pt idx="173">
                  <c:v>1.160712</c:v>
                </c:pt>
                <c:pt idx="174">
                  <c:v>1.230691</c:v>
                </c:pt>
                <c:pt idx="175">
                  <c:v>0.58713499999999996</c:v>
                </c:pt>
                <c:pt idx="176">
                  <c:v>0.706959</c:v>
                </c:pt>
                <c:pt idx="177">
                  <c:v>0.63964100000000002</c:v>
                </c:pt>
                <c:pt idx="178">
                  <c:v>0.80740500000000004</c:v>
                </c:pt>
                <c:pt idx="179">
                  <c:v>0.79796999999999996</c:v>
                </c:pt>
                <c:pt idx="180">
                  <c:v>0.88431199999999999</c:v>
                </c:pt>
                <c:pt idx="181">
                  <c:v>1.0496479999999999</c:v>
                </c:pt>
                <c:pt idx="182">
                  <c:v>0.99570899999999996</c:v>
                </c:pt>
                <c:pt idx="183">
                  <c:v>1.168253</c:v>
                </c:pt>
                <c:pt idx="184">
                  <c:v>1.1080380000000001</c:v>
                </c:pt>
                <c:pt idx="185">
                  <c:v>1.120053</c:v>
                </c:pt>
                <c:pt idx="186">
                  <c:v>1.223319</c:v>
                </c:pt>
                <c:pt idx="187">
                  <c:v>0.59775299999999998</c:v>
                </c:pt>
                <c:pt idx="188">
                  <c:v>0.70439799999999997</c:v>
                </c:pt>
                <c:pt idx="189">
                  <c:v>0.56176000000000004</c:v>
                </c:pt>
                <c:pt idx="190">
                  <c:v>0.74525799999999998</c:v>
                </c:pt>
                <c:pt idx="191">
                  <c:v>0.83793399999999996</c:v>
                </c:pt>
                <c:pt idx="192">
                  <c:v>0.95414399999999999</c:v>
                </c:pt>
                <c:pt idx="193">
                  <c:v>1.0782194899999999</c:v>
                </c:pt>
                <c:pt idx="194">
                  <c:v>1.1109816100000001</c:v>
                </c:pt>
                <c:pt idx="195">
                  <c:v>1.1099791399999901</c:v>
                </c:pt>
                <c:pt idx="196">
                  <c:v>1.1635343</c:v>
                </c:pt>
                <c:pt idx="197">
                  <c:v>1.1765890000000001</c:v>
                </c:pt>
                <c:pt idx="198">
                  <c:v>1.2199409999999999</c:v>
                </c:pt>
                <c:pt idx="199">
                  <c:v>0.761822</c:v>
                </c:pt>
                <c:pt idx="200">
                  <c:v>0.64943499999999998</c:v>
                </c:pt>
                <c:pt idx="201">
                  <c:v>0.82788700000000004</c:v>
                </c:pt>
                <c:pt idx="202">
                  <c:v>0.81625499999999995</c:v>
                </c:pt>
                <c:pt idx="203">
                  <c:v>0.76213699999999995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E0-4A32-8885-A3E7F44597E3}"/>
            </c:ext>
          </c:extLst>
        </c:ser>
        <c:ser>
          <c:idx val="1"/>
          <c:order val="1"/>
          <c:tx>
            <c:strRef>
              <c:f>medicinas!$D$1</c:f>
              <c:strCache>
                <c:ptCount val="1"/>
                <c:pt idx="0">
                  <c:v>Media Móvil de orden 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medicinas!$D$2:$D$205</c:f>
              <c:numCache>
                <c:formatCode>General</c:formatCode>
                <c:ptCount val="204"/>
                <c:pt idx="1">
                  <c:v>0.42095333333333329</c:v>
                </c:pt>
                <c:pt idx="2">
                  <c:v>0.44186933333333328</c:v>
                </c:pt>
                <c:pt idx="3">
                  <c:v>0.47569033333333333</c:v>
                </c:pt>
                <c:pt idx="4">
                  <c:v>0.53252133333333329</c:v>
                </c:pt>
                <c:pt idx="5">
                  <c:v>0.5883799999999999</c:v>
                </c:pt>
                <c:pt idx="6">
                  <c:v>0.53299699999999994</c:v>
                </c:pt>
                <c:pt idx="7">
                  <c:v>0.44922900000000004</c:v>
                </c:pt>
                <c:pt idx="8">
                  <c:v>0.35579199999999994</c:v>
                </c:pt>
                <c:pt idx="9">
                  <c:v>0.364319</c:v>
                </c:pt>
                <c:pt idx="10">
                  <c:v>0.38404766666666662</c:v>
                </c:pt>
                <c:pt idx="11">
                  <c:v>0.41857455666666632</c:v>
                </c:pt>
                <c:pt idx="12">
                  <c:v>0.45646202999999935</c:v>
                </c:pt>
                <c:pt idx="13">
                  <c:v>0.49787104333333271</c:v>
                </c:pt>
                <c:pt idx="14">
                  <c:v>0.52627686333333301</c:v>
                </c:pt>
                <c:pt idx="15">
                  <c:v>0.56619682000000005</c:v>
                </c:pt>
                <c:pt idx="16">
                  <c:v>0.6450290666666666</c:v>
                </c:pt>
                <c:pt idx="17">
                  <c:v>0.70599462333333329</c:v>
                </c:pt>
                <c:pt idx="18">
                  <c:v>0.63677163999999997</c:v>
                </c:pt>
                <c:pt idx="19">
                  <c:v>0.52211345333333337</c:v>
                </c:pt>
                <c:pt idx="20">
                  <c:v>0.40957591333333337</c:v>
                </c:pt>
                <c:pt idx="21">
                  <c:v>0.42334407333333335</c:v>
                </c:pt>
                <c:pt idx="22">
                  <c:v>0.43762513999999997</c:v>
                </c:pt>
                <c:pt idx="23">
                  <c:v>0.46939831000000004</c:v>
                </c:pt>
                <c:pt idx="24">
                  <c:v>0.51259303666666667</c:v>
                </c:pt>
                <c:pt idx="25">
                  <c:v>0.55638891666666668</c:v>
                </c:pt>
                <c:pt idx="26">
                  <c:v>0.59763471999999995</c:v>
                </c:pt>
                <c:pt idx="27">
                  <c:v>0.64468884999999998</c:v>
                </c:pt>
                <c:pt idx="28">
                  <c:v>0.76521099999999986</c:v>
                </c:pt>
                <c:pt idx="29">
                  <c:v>0.82733708000000006</c:v>
                </c:pt>
                <c:pt idx="30">
                  <c:v>0.74002521666666665</c:v>
                </c:pt>
                <c:pt idx="31">
                  <c:v>0.58770546999999995</c:v>
                </c:pt>
                <c:pt idx="32">
                  <c:v>0.47142741333333299</c:v>
                </c:pt>
                <c:pt idx="33">
                  <c:v>0.495769566666666</c:v>
                </c:pt>
                <c:pt idx="34">
                  <c:v>0.50723373999999932</c:v>
                </c:pt>
                <c:pt idx="35">
                  <c:v>0.53644298999999973</c:v>
                </c:pt>
                <c:pt idx="36">
                  <c:v>0.59049492333333331</c:v>
                </c:pt>
                <c:pt idx="37">
                  <c:v>0.63895612000000002</c:v>
                </c:pt>
                <c:pt idx="38">
                  <c:v>0.68281380666666669</c:v>
                </c:pt>
                <c:pt idx="39">
                  <c:v>0.70563098000000002</c:v>
                </c:pt>
                <c:pt idx="40">
                  <c:v>0.74810106333333337</c:v>
                </c:pt>
                <c:pt idx="41">
                  <c:v>0.78590792666666676</c:v>
                </c:pt>
                <c:pt idx="42">
                  <c:v>0.6972261466666666</c:v>
                </c:pt>
                <c:pt idx="43">
                  <c:v>0.61031436999999966</c:v>
                </c:pt>
                <c:pt idx="44">
                  <c:v>0.51831278666666603</c:v>
                </c:pt>
                <c:pt idx="45">
                  <c:v>0.54697664666666579</c:v>
                </c:pt>
                <c:pt idx="46">
                  <c:v>0.5591117599999994</c:v>
                </c:pt>
                <c:pt idx="47">
                  <c:v>0.59112035999999935</c:v>
                </c:pt>
                <c:pt idx="48">
                  <c:v>0.65098282999999968</c:v>
                </c:pt>
                <c:pt idx="49">
                  <c:v>0.69644753666666637</c:v>
                </c:pt>
                <c:pt idx="50">
                  <c:v>0.7606706700000001</c:v>
                </c:pt>
                <c:pt idx="51">
                  <c:v>0.78506141666666662</c:v>
                </c:pt>
                <c:pt idx="52">
                  <c:v>0.85215518000000001</c:v>
                </c:pt>
                <c:pt idx="53">
                  <c:v>0.8926461533333333</c:v>
                </c:pt>
                <c:pt idx="54">
                  <c:v>0.79756354666666673</c:v>
                </c:pt>
                <c:pt idx="55">
                  <c:v>0.67512584333333336</c:v>
                </c:pt>
                <c:pt idx="56">
                  <c:v>0.55532441666666632</c:v>
                </c:pt>
                <c:pt idx="57">
                  <c:v>0.58404633666666628</c:v>
                </c:pt>
                <c:pt idx="58">
                  <c:v>0.59566261333333304</c:v>
                </c:pt>
                <c:pt idx="59">
                  <c:v>0.63895820666666669</c:v>
                </c:pt>
                <c:pt idx="60">
                  <c:v>0.67381638666666666</c:v>
                </c:pt>
                <c:pt idx="61">
                  <c:v>0.7238613599999999</c:v>
                </c:pt>
                <c:pt idx="62">
                  <c:v>0.75622691666666675</c:v>
                </c:pt>
                <c:pt idx="63">
                  <c:v>0.77924038333333334</c:v>
                </c:pt>
                <c:pt idx="64">
                  <c:v>0.8548289533333332</c:v>
                </c:pt>
                <c:pt idx="65">
                  <c:v>0.86882176333333339</c:v>
                </c:pt>
                <c:pt idx="66">
                  <c:v>0.76058181999999963</c:v>
                </c:pt>
                <c:pt idx="67">
                  <c:v>0.59864307666666627</c:v>
                </c:pt>
                <c:pt idx="68">
                  <c:v>0.49238476333333264</c:v>
                </c:pt>
                <c:pt idx="69">
                  <c:v>0.52522274666666635</c:v>
                </c:pt>
                <c:pt idx="70">
                  <c:v>0.55965515666666643</c:v>
                </c:pt>
                <c:pt idx="71">
                  <c:v>0.60679574333333341</c:v>
                </c:pt>
                <c:pt idx="72">
                  <c:v>0.64534813666666668</c:v>
                </c:pt>
                <c:pt idx="73">
                  <c:v>0.70348983333333326</c:v>
                </c:pt>
                <c:pt idx="74">
                  <c:v>0.74690429333333341</c:v>
                </c:pt>
                <c:pt idx="75">
                  <c:v>0.77774705</c:v>
                </c:pt>
                <c:pt idx="76">
                  <c:v>0.8548783333333333</c:v>
                </c:pt>
                <c:pt idx="77">
                  <c:v>0.85515189666666658</c:v>
                </c:pt>
                <c:pt idx="78">
                  <c:v>0.76183032666666672</c:v>
                </c:pt>
                <c:pt idx="79">
                  <c:v>0.60516987666666666</c:v>
                </c:pt>
                <c:pt idx="80">
                  <c:v>0.51720489333333342</c:v>
                </c:pt>
                <c:pt idx="81">
                  <c:v>0.53771600333333336</c:v>
                </c:pt>
                <c:pt idx="82">
                  <c:v>0.56403521999999995</c:v>
                </c:pt>
                <c:pt idx="83">
                  <c:v>0.61223385333333336</c:v>
                </c:pt>
                <c:pt idx="84">
                  <c:v>0.65422879</c:v>
                </c:pt>
                <c:pt idx="85">
                  <c:v>0.71807112666666661</c:v>
                </c:pt>
                <c:pt idx="86">
                  <c:v>0.75253063333333337</c:v>
                </c:pt>
                <c:pt idx="87">
                  <c:v>0.79750841666666672</c:v>
                </c:pt>
                <c:pt idx="88">
                  <c:v>0.85845496666666676</c:v>
                </c:pt>
                <c:pt idx="89">
                  <c:v>0.89460749333333334</c:v>
                </c:pt>
                <c:pt idx="90">
                  <c:v>0.79450324999999999</c:v>
                </c:pt>
                <c:pt idx="91">
                  <c:v>0.68625778000000004</c:v>
                </c:pt>
                <c:pt idx="92">
                  <c:v>0.57988941999999999</c:v>
                </c:pt>
                <c:pt idx="93">
                  <c:v>0.62207023666666661</c:v>
                </c:pt>
                <c:pt idx="94">
                  <c:v>0.63902890000000001</c:v>
                </c:pt>
                <c:pt idx="95">
                  <c:v>0.70458618000000006</c:v>
                </c:pt>
                <c:pt idx="96">
                  <c:v>0.77356866666666668</c:v>
                </c:pt>
                <c:pt idx="97">
                  <c:v>0.83652100333333335</c:v>
                </c:pt>
                <c:pt idx="98">
                  <c:v>0.87893821666666661</c:v>
                </c:pt>
                <c:pt idx="99">
                  <c:v>0.91263648666666664</c:v>
                </c:pt>
                <c:pt idx="100">
                  <c:v>0.96529594666666674</c:v>
                </c:pt>
                <c:pt idx="101">
                  <c:v>0.98921454333333336</c:v>
                </c:pt>
                <c:pt idx="102">
                  <c:v>0.86455148333333331</c:v>
                </c:pt>
                <c:pt idx="103">
                  <c:v>0.72048467333333333</c:v>
                </c:pt>
                <c:pt idx="104">
                  <c:v>0.60359802666666662</c:v>
                </c:pt>
                <c:pt idx="105">
                  <c:v>0.63423726333333297</c:v>
                </c:pt>
                <c:pt idx="106">
                  <c:v>0.67024169999999972</c:v>
                </c:pt>
                <c:pt idx="107">
                  <c:v>0.7491981033333327</c:v>
                </c:pt>
                <c:pt idx="108">
                  <c:v>0.81612312666666631</c:v>
                </c:pt>
                <c:pt idx="109">
                  <c:v>0.84903268666666631</c:v>
                </c:pt>
                <c:pt idx="110">
                  <c:v>0.88221804666666659</c:v>
                </c:pt>
                <c:pt idx="111">
                  <c:v>0.90642193666666671</c:v>
                </c:pt>
                <c:pt idx="112">
                  <c:v>0.96901379999999993</c:v>
                </c:pt>
                <c:pt idx="113">
                  <c:v>0.99847524333333337</c:v>
                </c:pt>
                <c:pt idx="114">
                  <c:v>0.85582567333333337</c:v>
                </c:pt>
                <c:pt idx="115">
                  <c:v>0.74234053666666622</c:v>
                </c:pt>
                <c:pt idx="116">
                  <c:v>0.61056210666666633</c:v>
                </c:pt>
                <c:pt idx="117">
                  <c:v>0.67505125333333293</c:v>
                </c:pt>
                <c:pt idx="118">
                  <c:v>0.68400516666666666</c:v>
                </c:pt>
                <c:pt idx="119">
                  <c:v>0.75182377</c:v>
                </c:pt>
                <c:pt idx="120">
                  <c:v>0.81968727333333335</c:v>
                </c:pt>
                <c:pt idx="121">
                  <c:v>0.87569184666666666</c:v>
                </c:pt>
                <c:pt idx="122">
                  <c:v>0.93314749333333324</c:v>
                </c:pt>
                <c:pt idx="123">
                  <c:v>1.0004425000000001</c:v>
                </c:pt>
                <c:pt idx="124">
                  <c:v>1.0487320866666667</c:v>
                </c:pt>
                <c:pt idx="125">
                  <c:v>1.08925702</c:v>
                </c:pt>
                <c:pt idx="126">
                  <c:v>0.91125507333333333</c:v>
                </c:pt>
                <c:pt idx="127">
                  <c:v>0.78753886000000006</c:v>
                </c:pt>
                <c:pt idx="128">
                  <c:v>0.63220368000000005</c:v>
                </c:pt>
                <c:pt idx="129">
                  <c:v>0.69632168666666638</c:v>
                </c:pt>
                <c:pt idx="130">
                  <c:v>0.73329879333333292</c:v>
                </c:pt>
                <c:pt idx="131">
                  <c:v>0.81269929999999935</c:v>
                </c:pt>
                <c:pt idx="132">
                  <c:v>0.8648423433333331</c:v>
                </c:pt>
                <c:pt idx="133">
                  <c:v>0.95187626333332975</c:v>
                </c:pt>
                <c:pt idx="134">
                  <c:v>0.98818042999999667</c:v>
                </c:pt>
                <c:pt idx="135">
                  <c:v>1.0156565766666634</c:v>
                </c:pt>
                <c:pt idx="136">
                  <c:v>1.0455159133333334</c:v>
                </c:pt>
                <c:pt idx="137">
                  <c:v>1.06257217333333</c:v>
                </c:pt>
                <c:pt idx="138">
                  <c:v>0.91973891333333002</c:v>
                </c:pt>
                <c:pt idx="139">
                  <c:v>0.76659145999999667</c:v>
                </c:pt>
                <c:pt idx="140">
                  <c:v>0.62833228666666674</c:v>
                </c:pt>
                <c:pt idx="141">
                  <c:v>0.68573888999999999</c:v>
                </c:pt>
                <c:pt idx="142">
                  <c:v>0.73820966333333338</c:v>
                </c:pt>
                <c:pt idx="143">
                  <c:v>0.82254088999999997</c:v>
                </c:pt>
                <c:pt idx="144">
                  <c:v>0.87799782999999998</c:v>
                </c:pt>
                <c:pt idx="145">
                  <c:v>0.97263559333333338</c:v>
                </c:pt>
                <c:pt idx="146">
                  <c:v>1.05073132333333</c:v>
                </c:pt>
                <c:pt idx="147">
                  <c:v>1.0953817866666633</c:v>
                </c:pt>
                <c:pt idx="148">
                  <c:v>1.1415736566666632</c:v>
                </c:pt>
                <c:pt idx="149">
                  <c:v>1.1347326533333302</c:v>
                </c:pt>
                <c:pt idx="150">
                  <c:v>1.0071161399999966</c:v>
                </c:pt>
                <c:pt idx="151">
                  <c:v>0.84904271999999636</c:v>
                </c:pt>
                <c:pt idx="152">
                  <c:v>0.71899632333333308</c:v>
                </c:pt>
                <c:pt idx="153">
                  <c:v>0.76137630999999961</c:v>
                </c:pt>
                <c:pt idx="154">
                  <c:v>0.79730582333333333</c:v>
                </c:pt>
                <c:pt idx="155">
                  <c:v>0.88450820666666663</c:v>
                </c:pt>
                <c:pt idx="156">
                  <c:v>0.95108677333333336</c:v>
                </c:pt>
                <c:pt idx="157">
                  <c:v>1.0436298333333334</c:v>
                </c:pt>
                <c:pt idx="158">
                  <c:v>1.1034357766666665</c:v>
                </c:pt>
                <c:pt idx="159">
                  <c:v>1.17716</c:v>
                </c:pt>
                <c:pt idx="160">
                  <c:v>1.2180953333333333</c:v>
                </c:pt>
                <c:pt idx="161">
                  <c:v>1.214655</c:v>
                </c:pt>
                <c:pt idx="162">
                  <c:v>1.0085223333333333</c:v>
                </c:pt>
                <c:pt idx="163">
                  <c:v>0.80697300000000005</c:v>
                </c:pt>
                <c:pt idx="164">
                  <c:v>0.64024466666666668</c:v>
                </c:pt>
                <c:pt idx="165">
                  <c:v>0.67278099999999996</c:v>
                </c:pt>
                <c:pt idx="166">
                  <c:v>0.73600533333333329</c:v>
                </c:pt>
                <c:pt idx="167">
                  <c:v>0.80394899999999991</c:v>
                </c:pt>
                <c:pt idx="168">
                  <c:v>0.90769866666666665</c:v>
                </c:pt>
                <c:pt idx="169">
                  <c:v>0.99185633333333334</c:v>
                </c:pt>
                <c:pt idx="170">
                  <c:v>1.0427586666666666</c:v>
                </c:pt>
                <c:pt idx="171">
                  <c:v>1.0903370000000001</c:v>
                </c:pt>
                <c:pt idx="172">
                  <c:v>1.1123289999999999</c:v>
                </c:pt>
                <c:pt idx="173">
                  <c:v>1.1802116666666667</c:v>
                </c:pt>
                <c:pt idx="174">
                  <c:v>0.99284600000000001</c:v>
                </c:pt>
                <c:pt idx="175">
                  <c:v>0.84159499999999998</c:v>
                </c:pt>
                <c:pt idx="176">
                  <c:v>0.64457833333333336</c:v>
                </c:pt>
                <c:pt idx="177">
                  <c:v>0.71800166666666676</c:v>
                </c:pt>
                <c:pt idx="178">
                  <c:v>0.74833866666666671</c:v>
                </c:pt>
                <c:pt idx="179">
                  <c:v>0.8298956666666667</c:v>
                </c:pt>
                <c:pt idx="180">
                  <c:v>0.91064333333333325</c:v>
                </c:pt>
                <c:pt idx="181">
                  <c:v>0.97655633333333325</c:v>
                </c:pt>
                <c:pt idx="182">
                  <c:v>1.0712033333333333</c:v>
                </c:pt>
                <c:pt idx="183">
                  <c:v>1.0906666666666667</c:v>
                </c:pt>
                <c:pt idx="184">
                  <c:v>1.1321146666666666</c:v>
                </c:pt>
                <c:pt idx="185">
                  <c:v>1.1504700000000001</c:v>
                </c:pt>
                <c:pt idx="186">
                  <c:v>0.980375</c:v>
                </c:pt>
                <c:pt idx="187">
                  <c:v>0.84182333333333326</c:v>
                </c:pt>
                <c:pt idx="188">
                  <c:v>0.62130366666666659</c:v>
                </c:pt>
                <c:pt idx="189">
                  <c:v>0.67047199999999985</c:v>
                </c:pt>
                <c:pt idx="190">
                  <c:v>0.71498399999999995</c:v>
                </c:pt>
                <c:pt idx="191">
                  <c:v>0.84577866666666657</c:v>
                </c:pt>
                <c:pt idx="192">
                  <c:v>0.95676583000000004</c:v>
                </c:pt>
                <c:pt idx="193">
                  <c:v>1.0477817</c:v>
                </c:pt>
                <c:pt idx="194">
                  <c:v>1.0997267466666634</c:v>
                </c:pt>
                <c:pt idx="195">
                  <c:v>1.1281650166666635</c:v>
                </c:pt>
                <c:pt idx="196">
                  <c:v>1.1500341466666635</c:v>
                </c:pt>
                <c:pt idx="197">
                  <c:v>1.1866881</c:v>
                </c:pt>
                <c:pt idx="198">
                  <c:v>1.0527840000000002</c:v>
                </c:pt>
                <c:pt idx="199">
                  <c:v>0.87706600000000001</c:v>
                </c:pt>
                <c:pt idx="200">
                  <c:v>0.74638133333333334</c:v>
                </c:pt>
                <c:pt idx="201">
                  <c:v>0.76452566666666666</c:v>
                </c:pt>
                <c:pt idx="202">
                  <c:v>0.80209300000000006</c:v>
                </c:pt>
                <c:pt idx="203">
                  <c:v>0.78919600000000001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E0-4A32-8885-A3E7F44597E3}"/>
            </c:ext>
          </c:extLst>
        </c:ser>
        <c:ser>
          <c:idx val="2"/>
          <c:order val="2"/>
          <c:tx>
            <c:strRef>
              <c:f>medicinas!$E$1</c:f>
              <c:strCache>
                <c:ptCount val="1"/>
                <c:pt idx="0">
                  <c:v>Tendencia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medicinas!$E$2:$E$205</c:f>
              <c:numCache>
                <c:formatCode>General</c:formatCode>
                <c:ptCount val="204"/>
                <c:pt idx="6">
                  <c:v>0.45173629888888872</c:v>
                </c:pt>
                <c:pt idx="7">
                  <c:v>0.45814610805555533</c:v>
                </c:pt>
                <c:pt idx="8">
                  <c:v>0.46518006888888869</c:v>
                </c:pt>
                <c:pt idx="9">
                  <c:v>0.4727222761111109</c:v>
                </c:pt>
                <c:pt idx="10">
                  <c:v>0.48209792055555539</c:v>
                </c:pt>
                <c:pt idx="11">
                  <c:v>0.4918991391666665</c:v>
                </c:pt>
                <c:pt idx="12">
                  <c:v>0.50054702583333321</c:v>
                </c:pt>
                <c:pt idx="13">
                  <c:v>0.50662073027777754</c:v>
                </c:pt>
                <c:pt idx="14">
                  <c:v>0.51110272305555549</c:v>
                </c:pt>
                <c:pt idx="15">
                  <c:v>0.51602147916666652</c:v>
                </c:pt>
                <c:pt idx="16">
                  <c:v>0.52048626861111102</c:v>
                </c:pt>
                <c:pt idx="17">
                  <c:v>0.52472158138888869</c:v>
                </c:pt>
                <c:pt idx="18">
                  <c:v>0.52939916527777775</c:v>
                </c:pt>
                <c:pt idx="19">
                  <c:v>0.53427565472222227</c:v>
                </c:pt>
                <c:pt idx="20">
                  <c:v>0.54022214277777791</c:v>
                </c:pt>
                <c:pt idx="21">
                  <c:v>0.54676314527777781</c:v>
                </c:pt>
                <c:pt idx="22">
                  <c:v>0.55677830638888881</c:v>
                </c:pt>
                <c:pt idx="23">
                  <c:v>0.56689017777777773</c:v>
                </c:pt>
                <c:pt idx="24">
                  <c:v>0.57549464250000004</c:v>
                </c:pt>
                <c:pt idx="25">
                  <c:v>0.58096064388888891</c:v>
                </c:pt>
                <c:pt idx="26">
                  <c:v>0.58611493555555561</c:v>
                </c:pt>
                <c:pt idx="27">
                  <c:v>0.5921503933333333</c:v>
                </c:pt>
                <c:pt idx="28">
                  <c:v>0.59795110999999979</c:v>
                </c:pt>
                <c:pt idx="29">
                  <c:v>0.60353816666666649</c:v>
                </c:pt>
                <c:pt idx="30">
                  <c:v>0.6100299905555554</c:v>
                </c:pt>
                <c:pt idx="31">
                  <c:v>0.61691059083333311</c:v>
                </c:pt>
                <c:pt idx="32">
                  <c:v>0.62400884805555534</c:v>
                </c:pt>
                <c:pt idx="33">
                  <c:v>0.62908735888888867</c:v>
                </c:pt>
                <c:pt idx="34">
                  <c:v>0.6276615308333332</c:v>
                </c:pt>
                <c:pt idx="35">
                  <c:v>0.62420910138888885</c:v>
                </c:pt>
                <c:pt idx="36">
                  <c:v>0.62064251222222211</c:v>
                </c:pt>
                <c:pt idx="37">
                  <c:v>0.62252658722222209</c:v>
                </c:pt>
                <c:pt idx="38">
                  <c:v>0.62643370166666645</c:v>
                </c:pt>
                <c:pt idx="39">
                  <c:v>0.63070095833333317</c:v>
                </c:pt>
                <c:pt idx="40">
                  <c:v>0.63502412666666641</c:v>
                </c:pt>
                <c:pt idx="41">
                  <c:v>0.63958057416666647</c:v>
                </c:pt>
                <c:pt idx="42">
                  <c:v>0.6446212330555553</c:v>
                </c:pt>
                <c:pt idx="43">
                  <c:v>0.64941218444444415</c:v>
                </c:pt>
                <c:pt idx="44">
                  <c:v>0.65590025638888871</c:v>
                </c:pt>
                <c:pt idx="45">
                  <c:v>0.66251945944444424</c:v>
                </c:pt>
                <c:pt idx="46">
                  <c:v>0.67119063583333316</c:v>
                </c:pt>
                <c:pt idx="47">
                  <c:v>0.68008548805555524</c:v>
                </c:pt>
                <c:pt idx="48">
                  <c:v>0.68844693805555535</c:v>
                </c:pt>
                <c:pt idx="49">
                  <c:v>0.69384789416666637</c:v>
                </c:pt>
                <c:pt idx="50">
                  <c:v>0.69693219666666639</c:v>
                </c:pt>
                <c:pt idx="51">
                  <c:v>0.70002133749999984</c:v>
                </c:pt>
                <c:pt idx="52">
                  <c:v>0.70306724194444425</c:v>
                </c:pt>
                <c:pt idx="53">
                  <c:v>0.70705372916666664</c:v>
                </c:pt>
                <c:pt idx="54">
                  <c:v>0.70895652555555533</c:v>
                </c:pt>
                <c:pt idx="55">
                  <c:v>0.71124101083333324</c:v>
                </c:pt>
                <c:pt idx="56">
                  <c:v>0.71087069805555547</c:v>
                </c:pt>
                <c:pt idx="57">
                  <c:v>0.71038561194444438</c:v>
                </c:pt>
                <c:pt idx="58">
                  <c:v>0.71060842638888877</c:v>
                </c:pt>
                <c:pt idx="59">
                  <c:v>0.70862306055555557</c:v>
                </c:pt>
                <c:pt idx="60">
                  <c:v>0.7055412499999999</c:v>
                </c:pt>
                <c:pt idx="61">
                  <c:v>0.69916768611111102</c:v>
                </c:pt>
                <c:pt idx="62">
                  <c:v>0.6939227149999998</c:v>
                </c:pt>
                <c:pt idx="63">
                  <c:v>0.68902074916666656</c:v>
                </c:pt>
                <c:pt idx="64">
                  <c:v>0.68602012777777766</c:v>
                </c:pt>
                <c:pt idx="65">
                  <c:v>0.68333992249999975</c:v>
                </c:pt>
                <c:pt idx="66">
                  <c:v>0.68096756833333316</c:v>
                </c:pt>
                <c:pt idx="67">
                  <c:v>0.67926994111111094</c:v>
                </c:pt>
                <c:pt idx="68">
                  <c:v>0.67849305583333319</c:v>
                </c:pt>
                <c:pt idx="69">
                  <c:v>0.67836861138888871</c:v>
                </c:pt>
                <c:pt idx="70">
                  <c:v>0.67837272638888868</c:v>
                </c:pt>
                <c:pt idx="71">
                  <c:v>0.67723357083333324</c:v>
                </c:pt>
                <c:pt idx="72">
                  <c:v>0.6773376130555554</c:v>
                </c:pt>
                <c:pt idx="73">
                  <c:v>0.67788151305555555</c:v>
                </c:pt>
                <c:pt idx="74">
                  <c:v>0.67994985722222223</c:v>
                </c:pt>
                <c:pt idx="75">
                  <c:v>0.68099096194444453</c:v>
                </c:pt>
                <c:pt idx="76">
                  <c:v>0.68135596722222214</c:v>
                </c:pt>
                <c:pt idx="77">
                  <c:v>0.6818091430555554</c:v>
                </c:pt>
                <c:pt idx="78">
                  <c:v>0.68254919749999987</c:v>
                </c:pt>
                <c:pt idx="79">
                  <c:v>0.68376430527777776</c:v>
                </c:pt>
                <c:pt idx="80">
                  <c:v>0.68423316694444447</c:v>
                </c:pt>
                <c:pt idx="81">
                  <c:v>0.68587994750000014</c:v>
                </c:pt>
                <c:pt idx="82">
                  <c:v>0.68617800027777776</c:v>
                </c:pt>
                <c:pt idx="83">
                  <c:v>0.68946596666666682</c:v>
                </c:pt>
                <c:pt idx="84">
                  <c:v>0.69218871027777773</c:v>
                </c:pt>
                <c:pt idx="85">
                  <c:v>0.69894603555555557</c:v>
                </c:pt>
                <c:pt idx="86">
                  <c:v>0.70416974611111105</c:v>
                </c:pt>
                <c:pt idx="87">
                  <c:v>0.71119926555555557</c:v>
                </c:pt>
                <c:pt idx="88">
                  <c:v>0.71744873888888883</c:v>
                </c:pt>
                <c:pt idx="89">
                  <c:v>0.72514476611111112</c:v>
                </c:pt>
                <c:pt idx="90">
                  <c:v>0.73508975583333325</c:v>
                </c:pt>
                <c:pt idx="91">
                  <c:v>0.74496057888888878</c:v>
                </c:pt>
                <c:pt idx="92">
                  <c:v>0.75549454416666662</c:v>
                </c:pt>
                <c:pt idx="93">
                  <c:v>0.76508855000000009</c:v>
                </c:pt>
                <c:pt idx="94">
                  <c:v>0.77399196499999989</c:v>
                </c:pt>
                <c:pt idx="95">
                  <c:v>0.78187588583333323</c:v>
                </c:pt>
                <c:pt idx="96">
                  <c:v>0.78771323861111109</c:v>
                </c:pt>
                <c:pt idx="97">
                  <c:v>0.79056547972222224</c:v>
                </c:pt>
                <c:pt idx="98">
                  <c:v>0.79254119694444458</c:v>
                </c:pt>
                <c:pt idx="99">
                  <c:v>0.79355511583333327</c:v>
                </c:pt>
                <c:pt idx="100">
                  <c:v>0.79615618249999986</c:v>
                </c:pt>
                <c:pt idx="101">
                  <c:v>0.79987384277777762</c:v>
                </c:pt>
                <c:pt idx="102">
                  <c:v>0.80342004777777742</c:v>
                </c:pt>
                <c:pt idx="103">
                  <c:v>0.80446268805555532</c:v>
                </c:pt>
                <c:pt idx="104">
                  <c:v>0.80473600722222216</c:v>
                </c:pt>
                <c:pt idx="105">
                  <c:v>0.80421812805555526</c:v>
                </c:pt>
                <c:pt idx="106">
                  <c:v>0.80452794916666637</c:v>
                </c:pt>
                <c:pt idx="107">
                  <c:v>0.80529967416666637</c:v>
                </c:pt>
                <c:pt idx="108">
                  <c:v>0.80457252333333329</c:v>
                </c:pt>
                <c:pt idx="109">
                  <c:v>0.80639384527777747</c:v>
                </c:pt>
                <c:pt idx="110">
                  <c:v>0.80697418527777776</c:v>
                </c:pt>
                <c:pt idx="111">
                  <c:v>0.81037535111111081</c:v>
                </c:pt>
                <c:pt idx="112">
                  <c:v>0.81152230666666636</c:v>
                </c:pt>
                <c:pt idx="113">
                  <c:v>0.81174111222222212</c:v>
                </c:pt>
                <c:pt idx="114">
                  <c:v>0.81203812444444423</c:v>
                </c:pt>
                <c:pt idx="115">
                  <c:v>0.814259721111111</c:v>
                </c:pt>
                <c:pt idx="116">
                  <c:v>0.81850384166666668</c:v>
                </c:pt>
                <c:pt idx="117">
                  <c:v>0.82633888861111082</c:v>
                </c:pt>
                <c:pt idx="118">
                  <c:v>0.83298207916666656</c:v>
                </c:pt>
                <c:pt idx="119">
                  <c:v>0.84054722722222219</c:v>
                </c:pt>
                <c:pt idx="120">
                  <c:v>0.84516634388888878</c:v>
                </c:pt>
                <c:pt idx="121">
                  <c:v>0.84893287083333335</c:v>
                </c:pt>
                <c:pt idx="122">
                  <c:v>0.85073633527777781</c:v>
                </c:pt>
                <c:pt idx="123">
                  <c:v>0.85250887138888887</c:v>
                </c:pt>
                <c:pt idx="124">
                  <c:v>0.85661667361111105</c:v>
                </c:pt>
                <c:pt idx="125">
                  <c:v>0.86168963444444435</c:v>
                </c:pt>
                <c:pt idx="126">
                  <c:v>0.86545255694444412</c:v>
                </c:pt>
                <c:pt idx="127">
                  <c:v>0.87180125833333266</c:v>
                </c:pt>
                <c:pt idx="128">
                  <c:v>0.87638733638888822</c:v>
                </c:pt>
                <c:pt idx="129">
                  <c:v>0.87765517611110999</c:v>
                </c:pt>
                <c:pt idx="130">
                  <c:v>0.87738716166666553</c:v>
                </c:pt>
                <c:pt idx="131">
                  <c:v>0.87516342444444317</c:v>
                </c:pt>
                <c:pt idx="132">
                  <c:v>0.87587041111110953</c:v>
                </c:pt>
                <c:pt idx="133">
                  <c:v>0.87412479444444269</c:v>
                </c:pt>
                <c:pt idx="134">
                  <c:v>0.87380217833333163</c:v>
                </c:pt>
                <c:pt idx="135">
                  <c:v>0.87292027861110932</c:v>
                </c:pt>
                <c:pt idx="136">
                  <c:v>0.8733295177777759</c:v>
                </c:pt>
                <c:pt idx="137">
                  <c:v>0.87414965027777602</c:v>
                </c:pt>
                <c:pt idx="138">
                  <c:v>0.87524594083333163</c:v>
                </c:pt>
                <c:pt idx="139">
                  <c:v>0.87697588499999857</c:v>
                </c:pt>
                <c:pt idx="140">
                  <c:v>0.88218845944444313</c:v>
                </c:pt>
                <c:pt idx="141">
                  <c:v>0.88883222694444319</c:v>
                </c:pt>
                <c:pt idx="142">
                  <c:v>0.89683703888888733</c:v>
                </c:pt>
                <c:pt idx="143">
                  <c:v>0.90285041222222062</c:v>
                </c:pt>
                <c:pt idx="144">
                  <c:v>0.91013184777777612</c:v>
                </c:pt>
                <c:pt idx="145">
                  <c:v>0.91700278611110952</c:v>
                </c:pt>
                <c:pt idx="146">
                  <c:v>0.92455812249999825</c:v>
                </c:pt>
                <c:pt idx="147">
                  <c:v>0.93086124083333155</c:v>
                </c:pt>
                <c:pt idx="148">
                  <c:v>0.93578592083333156</c:v>
                </c:pt>
                <c:pt idx="149">
                  <c:v>0.94094986388888702</c:v>
                </c:pt>
                <c:pt idx="150">
                  <c:v>0.94704060916666499</c:v>
                </c:pt>
                <c:pt idx="151">
                  <c:v>0.95295679583333159</c:v>
                </c:pt>
                <c:pt idx="152">
                  <c:v>0.95734883361110967</c:v>
                </c:pt>
                <c:pt idx="153">
                  <c:v>0.96416368472222114</c:v>
                </c:pt>
                <c:pt idx="154">
                  <c:v>0.97054049111111029</c:v>
                </c:pt>
                <c:pt idx="155">
                  <c:v>0.97720068666666615</c:v>
                </c:pt>
                <c:pt idx="156">
                  <c:v>0.97731786944444421</c:v>
                </c:pt>
                <c:pt idx="157">
                  <c:v>0.97381205944444427</c:v>
                </c:pt>
                <c:pt idx="158">
                  <c:v>0.96724942138888881</c:v>
                </c:pt>
                <c:pt idx="159">
                  <c:v>0.95986647888888876</c:v>
                </c:pt>
                <c:pt idx="160">
                  <c:v>0.95475810472222211</c:v>
                </c:pt>
                <c:pt idx="161">
                  <c:v>0.94804483749999979</c:v>
                </c:pt>
                <c:pt idx="162">
                  <c:v>0.94442916194444448</c:v>
                </c:pt>
                <c:pt idx="163">
                  <c:v>0.94011470361111105</c:v>
                </c:pt>
                <c:pt idx="164">
                  <c:v>0.9350582777777775</c:v>
                </c:pt>
                <c:pt idx="165">
                  <c:v>0.92782302777777759</c:v>
                </c:pt>
                <c:pt idx="166">
                  <c:v>0.91900916666666654</c:v>
                </c:pt>
                <c:pt idx="167">
                  <c:v>0.91613888888888895</c:v>
                </c:pt>
                <c:pt idx="168">
                  <c:v>0.91483252777777768</c:v>
                </c:pt>
                <c:pt idx="169">
                  <c:v>0.9177176944444444</c:v>
                </c:pt>
                <c:pt idx="170">
                  <c:v>0.9180788333333334</c:v>
                </c:pt>
                <c:pt idx="171">
                  <c:v>0.92184722222222204</c:v>
                </c:pt>
                <c:pt idx="172">
                  <c:v>0.92287499999999989</c:v>
                </c:pt>
                <c:pt idx="173">
                  <c:v>0.92503722222222218</c:v>
                </c:pt>
                <c:pt idx="174">
                  <c:v>0.92528261111111121</c:v>
                </c:pt>
                <c:pt idx="175">
                  <c:v>0.92400761111111107</c:v>
                </c:pt>
                <c:pt idx="176">
                  <c:v>0.92637800000000003</c:v>
                </c:pt>
                <c:pt idx="177">
                  <c:v>0.92640547222222225</c:v>
                </c:pt>
                <c:pt idx="178">
                  <c:v>0.92805427777777771</c:v>
                </c:pt>
                <c:pt idx="179">
                  <c:v>0.92557580555555552</c:v>
                </c:pt>
                <c:pt idx="180">
                  <c:v>0.92453655555555558</c:v>
                </c:pt>
                <c:pt idx="181">
                  <c:v>0.92455558333333343</c:v>
                </c:pt>
                <c:pt idx="182">
                  <c:v>0.92261602777777785</c:v>
                </c:pt>
                <c:pt idx="183">
                  <c:v>0.91865522222222218</c:v>
                </c:pt>
                <c:pt idx="184">
                  <c:v>0.91587566666666664</c:v>
                </c:pt>
                <c:pt idx="185">
                  <c:v>0.91719924999999991</c:v>
                </c:pt>
                <c:pt idx="186">
                  <c:v>0.92104279138888889</c:v>
                </c:pt>
                <c:pt idx="187">
                  <c:v>0.92697823861111106</c:v>
                </c:pt>
                <c:pt idx="188">
                  <c:v>0.92935518972222197</c:v>
                </c:pt>
                <c:pt idx="189">
                  <c:v>0.93248005222222174</c:v>
                </c:pt>
                <c:pt idx="190">
                  <c:v>0.9339733422222215</c:v>
                </c:pt>
                <c:pt idx="191">
                  <c:v>0.93699151722222129</c:v>
                </c:pt>
                <c:pt idx="192">
                  <c:v>0.94302560055555473</c:v>
                </c:pt>
                <c:pt idx="193">
                  <c:v>0.9459624894444435</c:v>
                </c:pt>
                <c:pt idx="194">
                  <c:v>0.95638562833333252</c:v>
                </c:pt>
                <c:pt idx="195">
                  <c:v>0.96422343388888798</c:v>
                </c:pt>
                <c:pt idx="196">
                  <c:v>0.97148251722222145</c:v>
                </c:pt>
                <c:pt idx="197">
                  <c:v>0.96676729499999914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E0-4A32-8885-A3E7F4459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030384"/>
        <c:axId val="137995536"/>
      </c:lineChart>
      <c:dateAx>
        <c:axId val="32403038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995536"/>
        <c:crosses val="autoZero"/>
        <c:auto val="1"/>
        <c:lblOffset val="100"/>
        <c:baseTimeUnit val="months"/>
      </c:dateAx>
      <c:valAx>
        <c:axId val="13799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03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medicinas!$F$1</c:f>
              <c:strCache>
                <c:ptCount val="1"/>
                <c:pt idx="0">
                  <c:v>Serie sin tendencia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medicinas!$F$2:$F$205</c:f>
              <c:numCache>
                <c:formatCode>General</c:formatCode>
                <c:ptCount val="204"/>
                <c:pt idx="6">
                  <c:v>0.20838270111111129</c:v>
                </c:pt>
                <c:pt idx="7">
                  <c:v>-0.12192610805555532</c:v>
                </c:pt>
                <c:pt idx="8">
                  <c:v>-0.11383206888888869</c:v>
                </c:pt>
                <c:pt idx="9">
                  <c:v>-9.2914276111110916E-2</c:v>
                </c:pt>
                <c:pt idx="10">
                  <c:v>-0.12029692055555541</c:v>
                </c:pt>
                <c:pt idx="11">
                  <c:v>-8.1365139166666489E-2</c:v>
                </c:pt>
                <c:pt idx="12">
                  <c:v>-1.7158355833334193E-2</c:v>
                </c:pt>
                <c:pt idx="13">
                  <c:v>-3.1157310277778516E-2</c:v>
                </c:pt>
                <c:pt idx="14">
                  <c:v>2.3658316944444535E-2</c:v>
                </c:pt>
                <c:pt idx="15">
                  <c:v>5.2584650833333524E-2</c:v>
                </c:pt>
                <c:pt idx="16">
                  <c:v>7.4737021388888936E-2</c:v>
                </c:pt>
                <c:pt idx="17">
                  <c:v>0.24653619861111131</c:v>
                </c:pt>
                <c:pt idx="18">
                  <c:v>0.22210363472222228</c:v>
                </c:pt>
                <c:pt idx="19">
                  <c:v>-0.14672131472222227</c:v>
                </c:pt>
                <c:pt idx="20">
                  <c:v>-0.11293892277777789</c:v>
                </c:pt>
                <c:pt idx="21">
                  <c:v>-0.13287296527777781</c:v>
                </c:pt>
                <c:pt idx="22">
                  <c:v>-0.12791948638888884</c:v>
                </c:pt>
                <c:pt idx="23">
                  <c:v>-9.6763757777777737E-2</c:v>
                </c:pt>
                <c:pt idx="24">
                  <c:v>-6.6284952499999994E-2</c:v>
                </c:pt>
                <c:pt idx="25">
                  <c:v>-2.2517643888888883E-2</c:v>
                </c:pt>
                <c:pt idx="26">
                  <c:v>1.5399124444444356E-2</c:v>
                </c:pt>
                <c:pt idx="27">
                  <c:v>4.0796706666666682E-2</c:v>
                </c:pt>
                <c:pt idx="28">
                  <c:v>0.10165428000000021</c:v>
                </c:pt>
                <c:pt idx="29">
                  <c:v>0.35954234333333346</c:v>
                </c:pt>
                <c:pt idx="30">
                  <c:v>0.20929534944444461</c:v>
                </c:pt>
                <c:pt idx="31">
                  <c:v>-0.17924079083333311</c:v>
                </c:pt>
                <c:pt idx="32">
                  <c:v>-0.11788757805555539</c:v>
                </c:pt>
                <c:pt idx="33">
                  <c:v>-0.15859618888888966</c:v>
                </c:pt>
                <c:pt idx="34">
                  <c:v>-0.11696527083333419</c:v>
                </c:pt>
                <c:pt idx="35">
                  <c:v>-8.369531138888886E-2</c:v>
                </c:pt>
                <c:pt idx="36">
                  <c:v>-6.2523592222222146E-2</c:v>
                </c:pt>
                <c:pt idx="37">
                  <c:v>5.032547277777788E-2</c:v>
                </c:pt>
                <c:pt idx="38">
                  <c:v>5.9463678333333547E-2</c:v>
                </c:pt>
                <c:pt idx="39">
                  <c:v>5.899102166666681E-2</c:v>
                </c:pt>
                <c:pt idx="40">
                  <c:v>0.10627945333333355</c:v>
                </c:pt>
                <c:pt idx="41">
                  <c:v>0.17372705583333348</c:v>
                </c:pt>
                <c:pt idx="42">
                  <c:v>0.15849133694444473</c:v>
                </c:pt>
                <c:pt idx="43">
                  <c:v>-0.17415394444444415</c:v>
                </c:pt>
                <c:pt idx="44">
                  <c:v>-0.1033279563888897</c:v>
                </c:pt>
                <c:pt idx="45">
                  <c:v>-0.13541163944444523</c:v>
                </c:pt>
                <c:pt idx="46">
                  <c:v>-0.10994081583333415</c:v>
                </c:pt>
                <c:pt idx="47">
                  <c:v>-9.1107848055555274E-2</c:v>
                </c:pt>
                <c:pt idx="48">
                  <c:v>-6.5313318055556291E-2</c:v>
                </c:pt>
                <c:pt idx="49">
                  <c:v>4.6989335833333645E-2</c:v>
                </c:pt>
                <c:pt idx="50">
                  <c:v>2.843956333333364E-2</c:v>
                </c:pt>
                <c:pt idx="51">
                  <c:v>0.1157816825000002</c:v>
                </c:pt>
                <c:pt idx="52">
                  <c:v>0.11094222805555576</c:v>
                </c:pt>
                <c:pt idx="53">
                  <c:v>0.21959932083333333</c:v>
                </c:pt>
                <c:pt idx="54">
                  <c:v>0.2283194144444447</c:v>
                </c:pt>
                <c:pt idx="55">
                  <c:v>-0.18247936083333327</c:v>
                </c:pt>
                <c:pt idx="56">
                  <c:v>-0.15153075805555549</c:v>
                </c:pt>
                <c:pt idx="57">
                  <c:v>-0.13251395194444537</c:v>
                </c:pt>
                <c:pt idx="58">
                  <c:v>-9.5681016388888818E-2</c:v>
                </c:pt>
                <c:pt idx="59">
                  <c:v>-0.11443429055555554</c:v>
                </c:pt>
                <c:pt idx="60">
                  <c:v>2.217190000000091E-3</c:v>
                </c:pt>
                <c:pt idx="61">
                  <c:v>2.0334263888888926E-2</c:v>
                </c:pt>
                <c:pt idx="62">
                  <c:v>5.0400975000000181E-2</c:v>
                </c:pt>
                <c:pt idx="63">
                  <c:v>0.11583436083333343</c:v>
                </c:pt>
                <c:pt idx="64">
                  <c:v>0.10252222222222229</c:v>
                </c:pt>
                <c:pt idx="65">
                  <c:v>0.28774947750000024</c:v>
                </c:pt>
                <c:pt idx="66">
                  <c:v>0.16586597166666683</c:v>
                </c:pt>
                <c:pt idx="67">
                  <c:v>-0.21544742111111193</c:v>
                </c:pt>
                <c:pt idx="68">
                  <c:v>-0.19321988583333322</c:v>
                </c:pt>
                <c:pt idx="69">
                  <c:v>-0.15031001138888966</c:v>
                </c:pt>
                <c:pt idx="70">
                  <c:v>-0.1160362563888887</c:v>
                </c:pt>
                <c:pt idx="71">
                  <c:v>-8.8663170833333194E-2</c:v>
                </c:pt>
                <c:pt idx="72">
                  <c:v>-7.8572530555554021E-3</c:v>
                </c:pt>
                <c:pt idx="73">
                  <c:v>1.1213694444445199E-4</c:v>
                </c:pt>
                <c:pt idx="74">
                  <c:v>8.3045632777777767E-2</c:v>
                </c:pt>
                <c:pt idx="75">
                  <c:v>0.11873277805555549</c:v>
                </c:pt>
                <c:pt idx="76">
                  <c:v>8.9165952777777835E-2</c:v>
                </c:pt>
                <c:pt idx="77">
                  <c:v>0.31258019694444461</c:v>
                </c:pt>
                <c:pt idx="78">
                  <c:v>0.1179952325000001</c:v>
                </c:pt>
                <c:pt idx="79">
                  <c:v>-0.19320709527777774</c:v>
                </c:pt>
                <c:pt idx="80">
                  <c:v>-0.15982517694444442</c:v>
                </c:pt>
                <c:pt idx="81">
                  <c:v>-0.14923046750000013</c:v>
                </c:pt>
                <c:pt idx="82">
                  <c:v>-0.13408746027777774</c:v>
                </c:pt>
                <c:pt idx="83">
                  <c:v>-8.6100326666666782E-2</c:v>
                </c:pt>
                <c:pt idx="84">
                  <c:v>-1.0943330277777719E-2</c:v>
                </c:pt>
                <c:pt idx="85">
                  <c:v>-2.0870685555555601E-2</c:v>
                </c:pt>
                <c:pt idx="86">
                  <c:v>9.0722903888888928E-2</c:v>
                </c:pt>
                <c:pt idx="87">
                  <c:v>7.342463444444447E-2</c:v>
                </c:pt>
                <c:pt idx="88">
                  <c:v>9.5559961111111202E-2</c:v>
                </c:pt>
                <c:pt idx="89">
                  <c:v>0.25258753388888888</c:v>
                </c:pt>
                <c:pt idx="90">
                  <c:v>0.15799172416666674</c:v>
                </c:pt>
                <c:pt idx="91">
                  <c:v>-0.23226460888888878</c:v>
                </c:pt>
                <c:pt idx="92">
                  <c:v>-0.10249865416666659</c:v>
                </c:pt>
                <c:pt idx="93">
                  <c:v>-0.19111215000000004</c:v>
                </c:pt>
                <c:pt idx="94">
                  <c:v>-0.13475354499999992</c:v>
                </c:pt>
                <c:pt idx="95">
                  <c:v>-7.8004005833333223E-2</c:v>
                </c:pt>
                <c:pt idx="96">
                  <c:v>-1.7064998611111104E-2</c:v>
                </c:pt>
                <c:pt idx="97">
                  <c:v>5.5620400277777704E-2</c:v>
                </c:pt>
                <c:pt idx="98">
                  <c:v>0.10018769305555542</c:v>
                </c:pt>
                <c:pt idx="99">
                  <c:v>0.10434476416666671</c:v>
                </c:pt>
                <c:pt idx="100">
                  <c:v>0.15112450750000017</c:v>
                </c:pt>
                <c:pt idx="101">
                  <c:v>0.25083342722222235</c:v>
                </c:pt>
                <c:pt idx="102">
                  <c:v>0.16623562222222255</c:v>
                </c:pt>
                <c:pt idx="103">
                  <c:v>-0.23117117805555532</c:v>
                </c:pt>
                <c:pt idx="104">
                  <c:v>-0.18622916722222216</c:v>
                </c:pt>
                <c:pt idx="105">
                  <c:v>-0.18522239805555529</c:v>
                </c:pt>
                <c:pt idx="106">
                  <c:v>-0.13931872916666732</c:v>
                </c:pt>
                <c:pt idx="107">
                  <c:v>-7.8779524166666337E-2</c:v>
                </c:pt>
                <c:pt idx="108">
                  <c:v>5.129241666666573E-2</c:v>
                </c:pt>
                <c:pt idx="109">
                  <c:v>5.9590444722222524E-2</c:v>
                </c:pt>
                <c:pt idx="110">
                  <c:v>1.8274644722222289E-2</c:v>
                </c:pt>
                <c:pt idx="111">
                  <c:v>0.14504566888888915</c:v>
                </c:pt>
                <c:pt idx="112">
                  <c:v>0.12707365333333365</c:v>
                </c:pt>
                <c:pt idx="113">
                  <c:v>0.20128330777777792</c:v>
                </c:pt>
                <c:pt idx="114">
                  <c:v>0.23176722555555573</c:v>
                </c:pt>
                <c:pt idx="115">
                  <c:v>-0.303612471111111</c:v>
                </c:pt>
                <c:pt idx="116">
                  <c:v>-0.14593483166666765</c:v>
                </c:pt>
                <c:pt idx="117">
                  <c:v>-0.17786882861111086</c:v>
                </c:pt>
                <c:pt idx="118">
                  <c:v>-0.12886738916666651</c:v>
                </c:pt>
                <c:pt idx="119">
                  <c:v>-0.1411164772222222</c:v>
                </c:pt>
                <c:pt idx="120">
                  <c:v>6.7595261111111915E-3</c:v>
                </c:pt>
                <c:pt idx="121">
                  <c:v>5.8772329166666637E-2</c:v>
                </c:pt>
                <c:pt idx="122">
                  <c:v>1.6708134722222212E-2</c:v>
                </c:pt>
                <c:pt idx="123">
                  <c:v>0.17178393861111108</c:v>
                </c:pt>
                <c:pt idx="124">
                  <c:v>0.25297354638888903</c:v>
                </c:pt>
                <c:pt idx="125">
                  <c:v>0.1506235955555556</c:v>
                </c:pt>
                <c:pt idx="126">
                  <c:v>0.28041505305555592</c:v>
                </c:pt>
                <c:pt idx="127">
                  <c:v>-0.29621687833333266</c:v>
                </c:pt>
                <c:pt idx="128">
                  <c:v>-0.23522274638888818</c:v>
                </c:pt>
                <c:pt idx="129">
                  <c:v>-0.19779310611111001</c:v>
                </c:pt>
                <c:pt idx="130">
                  <c:v>-0.10944876166666651</c:v>
                </c:pt>
                <c:pt idx="131">
                  <c:v>-0.12306751444444319</c:v>
                </c:pt>
                <c:pt idx="132">
                  <c:v>4.2193178888889515E-2</c:v>
                </c:pt>
                <c:pt idx="133">
                  <c:v>5.0242735555557361E-2</c:v>
                </c:pt>
                <c:pt idx="134">
                  <c:v>0.13939549166665843</c:v>
                </c:pt>
                <c:pt idx="135">
                  <c:v>0.15405581138889068</c:v>
                </c:pt>
                <c:pt idx="136">
                  <c:v>0.13346645222222409</c:v>
                </c:pt>
                <c:pt idx="137">
                  <c:v>0.2286260297222239</c:v>
                </c:pt>
                <c:pt idx="138">
                  <c:v>0.20289892916665841</c:v>
                </c:pt>
                <c:pt idx="139">
                  <c:v>-0.29867969499999858</c:v>
                </c:pt>
                <c:pt idx="140">
                  <c:v>-0.23885513944444314</c:v>
                </c:pt>
                <c:pt idx="141">
                  <c:v>-0.22546487694444317</c:v>
                </c:pt>
                <c:pt idx="142">
                  <c:v>-0.14632103888888737</c:v>
                </c:pt>
                <c:pt idx="143">
                  <c:v>-0.10210477222222059</c:v>
                </c:pt>
                <c:pt idx="144">
                  <c:v>6.2291822222239057E-3</c:v>
                </c:pt>
                <c:pt idx="145">
                  <c:v>-1.1596611110953337E-4</c:v>
                </c:pt>
                <c:pt idx="146">
                  <c:v>0.16010080750000177</c:v>
                </c:pt>
                <c:pt idx="147">
                  <c:v>0.21978697916665835</c:v>
                </c:pt>
                <c:pt idx="148">
                  <c:v>0.11505228916666843</c:v>
                </c:pt>
                <c:pt idx="149">
                  <c:v>0.28228467611111296</c:v>
                </c:pt>
                <c:pt idx="150">
                  <c:v>0.18308460083332512</c:v>
                </c:pt>
                <c:pt idx="151">
                  <c:v>-0.28496812583333164</c:v>
                </c:pt>
                <c:pt idx="152">
                  <c:v>-0.20833455361111064</c:v>
                </c:pt>
                <c:pt idx="153">
                  <c:v>-0.22417766472222111</c:v>
                </c:pt>
                <c:pt idx="154">
                  <c:v>-0.17541186111111029</c:v>
                </c:pt>
                <c:pt idx="155">
                  <c:v>-0.12039786666666619</c:v>
                </c:pt>
                <c:pt idx="156">
                  <c:v>2.4275300555555823E-2</c:v>
                </c:pt>
                <c:pt idx="157">
                  <c:v>2.1052270555555697E-2</c:v>
                </c:pt>
                <c:pt idx="158">
                  <c:v>0.1671825786111113</c:v>
                </c:pt>
                <c:pt idx="159">
                  <c:v>0.22114452111111127</c:v>
                </c:pt>
                <c:pt idx="160">
                  <c:v>0.26127889527777792</c:v>
                </c:pt>
                <c:pt idx="161">
                  <c:v>0.30919316250000028</c:v>
                </c:pt>
                <c:pt idx="162">
                  <c:v>0.22626083805555552</c:v>
                </c:pt>
                <c:pt idx="163">
                  <c:v>-0.34247570361111102</c:v>
                </c:pt>
                <c:pt idx="164">
                  <c:v>-0.2824682777777775</c:v>
                </c:pt>
                <c:pt idx="165">
                  <c:v>-0.25731802777777757</c:v>
                </c:pt>
                <c:pt idx="166">
                  <c:v>-0.22376116666666657</c:v>
                </c:pt>
                <c:pt idx="167">
                  <c:v>-7.3875888888888963E-2</c:v>
                </c:pt>
                <c:pt idx="168">
                  <c:v>-4.049652777777768E-2</c:v>
                </c:pt>
                <c:pt idx="169">
                  <c:v>8.8779305555555577E-2</c:v>
                </c:pt>
                <c:pt idx="170">
                  <c:v>0.17665716666666653</c:v>
                </c:pt>
                <c:pt idx="171">
                  <c:v>0.10519577777777789</c:v>
                </c:pt>
                <c:pt idx="172">
                  <c:v>0.22635700000000014</c:v>
                </c:pt>
                <c:pt idx="173">
                  <c:v>0.23567477777777779</c:v>
                </c:pt>
                <c:pt idx="174">
                  <c:v>0.30540838888888877</c:v>
                </c:pt>
                <c:pt idx="175">
                  <c:v>-0.33687261111111111</c:v>
                </c:pt>
                <c:pt idx="176">
                  <c:v>-0.21941900000000003</c:v>
                </c:pt>
                <c:pt idx="177">
                  <c:v>-0.28676447222222223</c:v>
                </c:pt>
                <c:pt idx="178">
                  <c:v>-0.12064927777777767</c:v>
                </c:pt>
                <c:pt idx="179">
                  <c:v>-0.12760580555555556</c:v>
                </c:pt>
                <c:pt idx="180">
                  <c:v>-4.0224555555555597E-2</c:v>
                </c:pt>
                <c:pt idx="181">
                  <c:v>0.12509241666666648</c:v>
                </c:pt>
                <c:pt idx="182">
                  <c:v>7.3092972222222108E-2</c:v>
                </c:pt>
                <c:pt idx="183">
                  <c:v>0.24959777777777781</c:v>
                </c:pt>
                <c:pt idx="184">
                  <c:v>0.19216233333333343</c:v>
                </c:pt>
                <c:pt idx="185">
                  <c:v>0.20285375000000005</c:v>
                </c:pt>
                <c:pt idx="186">
                  <c:v>0.30227620861111115</c:v>
                </c:pt>
                <c:pt idx="187">
                  <c:v>-0.32922523861111108</c:v>
                </c:pt>
                <c:pt idx="188">
                  <c:v>-0.22495718972222201</c:v>
                </c:pt>
                <c:pt idx="189">
                  <c:v>-0.37072005222222171</c:v>
                </c:pt>
                <c:pt idx="190">
                  <c:v>-0.18871534222222153</c:v>
                </c:pt>
                <c:pt idx="191">
                  <c:v>-9.9057517222221336E-2</c:v>
                </c:pt>
                <c:pt idx="192">
                  <c:v>1.1118399444445259E-2</c:v>
                </c:pt>
                <c:pt idx="193">
                  <c:v>0.13225700055555645</c:v>
                </c:pt>
                <c:pt idx="194">
                  <c:v>0.15459598166666755</c:v>
                </c:pt>
                <c:pt idx="195">
                  <c:v>0.14575570611110211</c:v>
                </c:pt>
                <c:pt idx="196">
                  <c:v>0.19205178277777857</c:v>
                </c:pt>
                <c:pt idx="197">
                  <c:v>0.20982170500000097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40-41C5-A857-01B138EB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074928"/>
        <c:axId val="138031536"/>
      </c:lineChart>
      <c:dateAx>
        <c:axId val="32407492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31536"/>
        <c:crosses val="autoZero"/>
        <c:auto val="1"/>
        <c:lblOffset val="100"/>
        <c:baseTimeUnit val="months"/>
      </c:dateAx>
      <c:valAx>
        <c:axId val="13803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407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Estacionalidad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medicinas!$B$1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90-4936-B724-881AA57FA46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medicinas!$H$1:$H$205</c:f>
              <c:numCache>
                <c:formatCode>General</c:formatCode>
                <c:ptCount val="205"/>
                <c:pt idx="0">
                  <c:v>0</c:v>
                </c:pt>
                <c:pt idx="7">
                  <c:v>0.21042451446180468</c:v>
                </c:pt>
                <c:pt idx="8">
                  <c:v>-0.24179140911458308</c:v>
                </c:pt>
                <c:pt idx="9">
                  <c:v>-0.17478011918402764</c:v>
                </c:pt>
                <c:pt idx="10">
                  <c:v>-0.19176819232638881</c:v>
                </c:pt>
                <c:pt idx="11">
                  <c:v>-0.1367608961458332</c:v>
                </c:pt>
                <c:pt idx="12">
                  <c:v>-9.9133701041666328E-2</c:v>
                </c:pt>
                <c:pt idx="13">
                  <c:v>-1.1486355624999913E-2</c:v>
                </c:pt>
                <c:pt idx="14">
                  <c:v>3.9656656666666922E-2</c:v>
                </c:pt>
                <c:pt idx="15">
                  <c:v>8.483285409722191E-2</c:v>
                </c:pt>
                <c:pt idx="16">
                  <c:v>0.13080354874999911</c:v>
                </c:pt>
                <c:pt idx="17">
                  <c:v>0.14577509868055594</c:v>
                </c:pt>
                <c:pt idx="18">
                  <c:v>0.24521978491319479</c:v>
                </c:pt>
                <c:pt idx="19">
                  <c:v>0.21042451446180468</c:v>
                </c:pt>
                <c:pt idx="20">
                  <c:v>-0.24179140911458308</c:v>
                </c:pt>
                <c:pt idx="21">
                  <c:v>-0.17478011918402764</c:v>
                </c:pt>
                <c:pt idx="22">
                  <c:v>-0.19176819232638881</c:v>
                </c:pt>
                <c:pt idx="23">
                  <c:v>-0.1367608961458332</c:v>
                </c:pt>
                <c:pt idx="24">
                  <c:v>-9.9133701041666328E-2</c:v>
                </c:pt>
                <c:pt idx="25">
                  <c:v>-1.1486355624999913E-2</c:v>
                </c:pt>
                <c:pt idx="26">
                  <c:v>3.9656656666666922E-2</c:v>
                </c:pt>
                <c:pt idx="27">
                  <c:v>8.483285409722191E-2</c:v>
                </c:pt>
                <c:pt idx="28">
                  <c:v>0.13080354874999911</c:v>
                </c:pt>
                <c:pt idx="29">
                  <c:v>0.14577509868055594</c:v>
                </c:pt>
                <c:pt idx="30">
                  <c:v>0.24521978491319479</c:v>
                </c:pt>
                <c:pt idx="31">
                  <c:v>0.21042451446180468</c:v>
                </c:pt>
                <c:pt idx="32">
                  <c:v>-0.24179140911458308</c:v>
                </c:pt>
                <c:pt idx="33">
                  <c:v>-0.17478011918402764</c:v>
                </c:pt>
                <c:pt idx="34">
                  <c:v>-0.19176819232638881</c:v>
                </c:pt>
                <c:pt idx="35">
                  <c:v>-0.1367608961458332</c:v>
                </c:pt>
                <c:pt idx="36">
                  <c:v>-9.9133701041666328E-2</c:v>
                </c:pt>
                <c:pt idx="37">
                  <c:v>-1.1486355624999913E-2</c:v>
                </c:pt>
                <c:pt idx="38">
                  <c:v>3.9656656666666922E-2</c:v>
                </c:pt>
                <c:pt idx="39">
                  <c:v>8.483285409722191E-2</c:v>
                </c:pt>
                <c:pt idx="40">
                  <c:v>0.13080354874999911</c:v>
                </c:pt>
                <c:pt idx="41">
                  <c:v>0.14577509868055594</c:v>
                </c:pt>
                <c:pt idx="42">
                  <c:v>0.24521978491319479</c:v>
                </c:pt>
                <c:pt idx="43">
                  <c:v>0.21042451446180468</c:v>
                </c:pt>
                <c:pt idx="44">
                  <c:v>-0.24179140911458308</c:v>
                </c:pt>
                <c:pt idx="45">
                  <c:v>-0.17478011918402764</c:v>
                </c:pt>
                <c:pt idx="46">
                  <c:v>-0.19176819232638881</c:v>
                </c:pt>
                <c:pt idx="47">
                  <c:v>-0.1367608961458332</c:v>
                </c:pt>
                <c:pt idx="48">
                  <c:v>-9.9133701041666328E-2</c:v>
                </c:pt>
                <c:pt idx="49">
                  <c:v>-1.1486355624999913E-2</c:v>
                </c:pt>
                <c:pt idx="50">
                  <c:v>3.9656656666666922E-2</c:v>
                </c:pt>
                <c:pt idx="51">
                  <c:v>8.483285409722191E-2</c:v>
                </c:pt>
                <c:pt idx="52">
                  <c:v>0.13080354874999911</c:v>
                </c:pt>
                <c:pt idx="53">
                  <c:v>0.14577509868055594</c:v>
                </c:pt>
                <c:pt idx="54">
                  <c:v>0.24521978491319479</c:v>
                </c:pt>
                <c:pt idx="55">
                  <c:v>0.21042451446180468</c:v>
                </c:pt>
                <c:pt idx="56">
                  <c:v>-0.24179140911458308</c:v>
                </c:pt>
                <c:pt idx="57">
                  <c:v>-0.17478011918402764</c:v>
                </c:pt>
                <c:pt idx="58">
                  <c:v>-0.19176819232638881</c:v>
                </c:pt>
                <c:pt idx="59">
                  <c:v>-0.1367608961458332</c:v>
                </c:pt>
                <c:pt idx="60">
                  <c:v>-9.9133701041666328E-2</c:v>
                </c:pt>
                <c:pt idx="61">
                  <c:v>-1.1486355624999913E-2</c:v>
                </c:pt>
                <c:pt idx="62">
                  <c:v>3.9656656666666922E-2</c:v>
                </c:pt>
                <c:pt idx="63">
                  <c:v>8.483285409722191E-2</c:v>
                </c:pt>
                <c:pt idx="64">
                  <c:v>0.13080354874999911</c:v>
                </c:pt>
                <c:pt idx="65">
                  <c:v>0.14577509868055594</c:v>
                </c:pt>
                <c:pt idx="66">
                  <c:v>0.24521978491319479</c:v>
                </c:pt>
                <c:pt idx="67">
                  <c:v>0.21042451446180468</c:v>
                </c:pt>
                <c:pt idx="68">
                  <c:v>-0.24179140911458308</c:v>
                </c:pt>
                <c:pt idx="69">
                  <c:v>-0.17478011918402764</c:v>
                </c:pt>
                <c:pt idx="70">
                  <c:v>-0.19176819232638881</c:v>
                </c:pt>
                <c:pt idx="71">
                  <c:v>-0.1367608961458332</c:v>
                </c:pt>
                <c:pt idx="72">
                  <c:v>-9.9133701041666328E-2</c:v>
                </c:pt>
                <c:pt idx="73">
                  <c:v>-1.1486355624999913E-2</c:v>
                </c:pt>
                <c:pt idx="74">
                  <c:v>3.9656656666666922E-2</c:v>
                </c:pt>
                <c:pt idx="75">
                  <c:v>8.483285409722191E-2</c:v>
                </c:pt>
                <c:pt idx="76">
                  <c:v>0.13080354874999911</c:v>
                </c:pt>
                <c:pt idx="77">
                  <c:v>0.14577509868055594</c:v>
                </c:pt>
                <c:pt idx="78">
                  <c:v>0.24521978491319479</c:v>
                </c:pt>
                <c:pt idx="79">
                  <c:v>0.21042451446180468</c:v>
                </c:pt>
                <c:pt idx="80">
                  <c:v>-0.24179140911458308</c:v>
                </c:pt>
                <c:pt idx="81">
                  <c:v>-0.17478011918402764</c:v>
                </c:pt>
                <c:pt idx="82">
                  <c:v>-0.19176819232638881</c:v>
                </c:pt>
                <c:pt idx="83">
                  <c:v>-0.1367608961458332</c:v>
                </c:pt>
                <c:pt idx="84">
                  <c:v>-9.9133701041666328E-2</c:v>
                </c:pt>
                <c:pt idx="85">
                  <c:v>-1.1486355624999913E-2</c:v>
                </c:pt>
                <c:pt idx="86">
                  <c:v>3.9656656666666922E-2</c:v>
                </c:pt>
                <c:pt idx="87">
                  <c:v>8.483285409722191E-2</c:v>
                </c:pt>
                <c:pt idx="88">
                  <c:v>0.13080354874999911</c:v>
                </c:pt>
                <c:pt idx="89">
                  <c:v>0.14577509868055594</c:v>
                </c:pt>
                <c:pt idx="90">
                  <c:v>0.24521978491319479</c:v>
                </c:pt>
                <c:pt idx="91">
                  <c:v>0.21042451446180468</c:v>
                </c:pt>
                <c:pt idx="92">
                  <c:v>-0.24179140911458308</c:v>
                </c:pt>
                <c:pt idx="93">
                  <c:v>-0.17478011918402764</c:v>
                </c:pt>
                <c:pt idx="94">
                  <c:v>-0.19176819232638881</c:v>
                </c:pt>
                <c:pt idx="95">
                  <c:v>-0.1367608961458332</c:v>
                </c:pt>
                <c:pt idx="96">
                  <c:v>-9.9133701041666328E-2</c:v>
                </c:pt>
                <c:pt idx="97">
                  <c:v>-1.1486355624999913E-2</c:v>
                </c:pt>
                <c:pt idx="98">
                  <c:v>3.9656656666666922E-2</c:v>
                </c:pt>
                <c:pt idx="99">
                  <c:v>8.483285409722191E-2</c:v>
                </c:pt>
                <c:pt idx="100">
                  <c:v>0.13080354874999911</c:v>
                </c:pt>
                <c:pt idx="101">
                  <c:v>0.14577509868055594</c:v>
                </c:pt>
                <c:pt idx="102">
                  <c:v>0.24521978491319479</c:v>
                </c:pt>
                <c:pt idx="103">
                  <c:v>0.21042451446180468</c:v>
                </c:pt>
                <c:pt idx="104">
                  <c:v>-0.24179140911458308</c:v>
                </c:pt>
                <c:pt idx="105">
                  <c:v>-0.17478011918402764</c:v>
                </c:pt>
                <c:pt idx="106">
                  <c:v>-0.19176819232638881</c:v>
                </c:pt>
                <c:pt idx="107">
                  <c:v>-0.1367608961458332</c:v>
                </c:pt>
                <c:pt idx="108">
                  <c:v>-9.9133701041666328E-2</c:v>
                </c:pt>
                <c:pt idx="109">
                  <c:v>-1.1486355624999913E-2</c:v>
                </c:pt>
                <c:pt idx="110">
                  <c:v>3.9656656666666922E-2</c:v>
                </c:pt>
                <c:pt idx="111">
                  <c:v>8.483285409722191E-2</c:v>
                </c:pt>
                <c:pt idx="112">
                  <c:v>0.13080354874999911</c:v>
                </c:pt>
                <c:pt idx="113">
                  <c:v>0.14577509868055594</c:v>
                </c:pt>
                <c:pt idx="114">
                  <c:v>0.24521978491319479</c:v>
                </c:pt>
                <c:pt idx="115">
                  <c:v>0.21042451446180468</c:v>
                </c:pt>
                <c:pt idx="116">
                  <c:v>-0.24179140911458308</c:v>
                </c:pt>
                <c:pt idx="117">
                  <c:v>-0.17478011918402764</c:v>
                </c:pt>
                <c:pt idx="118">
                  <c:v>-0.19176819232638881</c:v>
                </c:pt>
                <c:pt idx="119">
                  <c:v>-0.1367608961458332</c:v>
                </c:pt>
                <c:pt idx="120">
                  <c:v>-9.9133701041666328E-2</c:v>
                </c:pt>
                <c:pt idx="121">
                  <c:v>-1.1486355624999913E-2</c:v>
                </c:pt>
                <c:pt idx="122">
                  <c:v>3.9656656666666922E-2</c:v>
                </c:pt>
                <c:pt idx="123">
                  <c:v>8.483285409722191E-2</c:v>
                </c:pt>
                <c:pt idx="124">
                  <c:v>0.13080354874999911</c:v>
                </c:pt>
                <c:pt idx="125">
                  <c:v>0.14577509868055594</c:v>
                </c:pt>
                <c:pt idx="126">
                  <c:v>0.24521978491319479</c:v>
                </c:pt>
                <c:pt idx="127">
                  <c:v>0.21042451446180468</c:v>
                </c:pt>
                <c:pt idx="128">
                  <c:v>-0.24179140911458308</c:v>
                </c:pt>
                <c:pt idx="129">
                  <c:v>-0.17478011918402764</c:v>
                </c:pt>
                <c:pt idx="130">
                  <c:v>-0.19176819232638881</c:v>
                </c:pt>
                <c:pt idx="131">
                  <c:v>-0.1367608961458332</c:v>
                </c:pt>
                <c:pt idx="132">
                  <c:v>-9.9133701041666328E-2</c:v>
                </c:pt>
                <c:pt idx="133">
                  <c:v>-1.1486355624999913E-2</c:v>
                </c:pt>
                <c:pt idx="134">
                  <c:v>3.9656656666666922E-2</c:v>
                </c:pt>
                <c:pt idx="135">
                  <c:v>8.483285409722191E-2</c:v>
                </c:pt>
                <c:pt idx="136">
                  <c:v>0.13080354874999911</c:v>
                </c:pt>
                <c:pt idx="137">
                  <c:v>0.14577509868055594</c:v>
                </c:pt>
                <c:pt idx="138">
                  <c:v>0.24521978491319479</c:v>
                </c:pt>
                <c:pt idx="139">
                  <c:v>0.21042451446180468</c:v>
                </c:pt>
                <c:pt idx="140">
                  <c:v>-0.24179140911458308</c:v>
                </c:pt>
                <c:pt idx="141">
                  <c:v>-0.17478011918402764</c:v>
                </c:pt>
                <c:pt idx="142">
                  <c:v>-0.19176819232638881</c:v>
                </c:pt>
                <c:pt idx="143">
                  <c:v>-0.1367608961458332</c:v>
                </c:pt>
                <c:pt idx="144">
                  <c:v>-9.9133701041666328E-2</c:v>
                </c:pt>
                <c:pt idx="145">
                  <c:v>-1.1486355624999913E-2</c:v>
                </c:pt>
                <c:pt idx="146">
                  <c:v>3.9656656666666922E-2</c:v>
                </c:pt>
                <c:pt idx="147">
                  <c:v>8.483285409722191E-2</c:v>
                </c:pt>
                <c:pt idx="148">
                  <c:v>0.13080354874999911</c:v>
                </c:pt>
                <c:pt idx="149">
                  <c:v>0.14577509868055594</c:v>
                </c:pt>
                <c:pt idx="150">
                  <c:v>0.24521978491319479</c:v>
                </c:pt>
                <c:pt idx="151">
                  <c:v>0.21042451446180468</c:v>
                </c:pt>
                <c:pt idx="152">
                  <c:v>-0.24179140911458308</c:v>
                </c:pt>
                <c:pt idx="153">
                  <c:v>-0.17478011918402764</c:v>
                </c:pt>
                <c:pt idx="154">
                  <c:v>-0.19176819232638881</c:v>
                </c:pt>
                <c:pt idx="155">
                  <c:v>-0.1367608961458332</c:v>
                </c:pt>
                <c:pt idx="156">
                  <c:v>-9.9133701041666328E-2</c:v>
                </c:pt>
                <c:pt idx="157">
                  <c:v>-1.1486355624999913E-2</c:v>
                </c:pt>
                <c:pt idx="158">
                  <c:v>3.9656656666666922E-2</c:v>
                </c:pt>
                <c:pt idx="159">
                  <c:v>8.483285409722191E-2</c:v>
                </c:pt>
                <c:pt idx="160">
                  <c:v>0.13080354874999911</c:v>
                </c:pt>
                <c:pt idx="161">
                  <c:v>0.14577509868055594</c:v>
                </c:pt>
                <c:pt idx="162">
                  <c:v>0.24521978491319479</c:v>
                </c:pt>
                <c:pt idx="163">
                  <c:v>0.21042451446180468</c:v>
                </c:pt>
                <c:pt idx="164">
                  <c:v>-0.24179140911458308</c:v>
                </c:pt>
                <c:pt idx="165">
                  <c:v>-0.17478011918402764</c:v>
                </c:pt>
                <c:pt idx="166">
                  <c:v>-0.19176819232638881</c:v>
                </c:pt>
                <c:pt idx="167">
                  <c:v>-0.1367608961458332</c:v>
                </c:pt>
                <c:pt idx="168">
                  <c:v>-9.9133701041666328E-2</c:v>
                </c:pt>
                <c:pt idx="169">
                  <c:v>-1.1486355624999913E-2</c:v>
                </c:pt>
                <c:pt idx="170">
                  <c:v>3.9656656666666922E-2</c:v>
                </c:pt>
                <c:pt idx="171">
                  <c:v>8.483285409722191E-2</c:v>
                </c:pt>
                <c:pt idx="172">
                  <c:v>0.13080354874999911</c:v>
                </c:pt>
                <c:pt idx="173">
                  <c:v>0.14577509868055594</c:v>
                </c:pt>
                <c:pt idx="174">
                  <c:v>0.24521978491319479</c:v>
                </c:pt>
                <c:pt idx="175">
                  <c:v>0.21042451446180468</c:v>
                </c:pt>
                <c:pt idx="176">
                  <c:v>-0.24179140911458308</c:v>
                </c:pt>
                <c:pt idx="177">
                  <c:v>-0.17478011918402764</c:v>
                </c:pt>
                <c:pt idx="178">
                  <c:v>-0.19176819232638881</c:v>
                </c:pt>
                <c:pt idx="179">
                  <c:v>-0.1367608961458332</c:v>
                </c:pt>
                <c:pt idx="180">
                  <c:v>-9.9133701041666328E-2</c:v>
                </c:pt>
                <c:pt idx="181">
                  <c:v>-1.1486355624999913E-2</c:v>
                </c:pt>
                <c:pt idx="182">
                  <c:v>3.9656656666666922E-2</c:v>
                </c:pt>
                <c:pt idx="183">
                  <c:v>8.483285409722191E-2</c:v>
                </c:pt>
                <c:pt idx="184">
                  <c:v>0.13080354874999911</c:v>
                </c:pt>
                <c:pt idx="185">
                  <c:v>0.14577509868055594</c:v>
                </c:pt>
                <c:pt idx="186">
                  <c:v>0.24521978491319479</c:v>
                </c:pt>
                <c:pt idx="187">
                  <c:v>0.21042451446180468</c:v>
                </c:pt>
                <c:pt idx="188">
                  <c:v>-0.24179140911458308</c:v>
                </c:pt>
                <c:pt idx="189">
                  <c:v>-0.17478011918402764</c:v>
                </c:pt>
                <c:pt idx="190">
                  <c:v>-0.19176819232638881</c:v>
                </c:pt>
                <c:pt idx="191">
                  <c:v>-0.1367608961458332</c:v>
                </c:pt>
                <c:pt idx="192">
                  <c:v>-9.9133701041666328E-2</c:v>
                </c:pt>
                <c:pt idx="193">
                  <c:v>-1.1486355624999913E-2</c:v>
                </c:pt>
                <c:pt idx="194">
                  <c:v>3.9656656666666922E-2</c:v>
                </c:pt>
                <c:pt idx="195">
                  <c:v>8.483285409722191E-2</c:v>
                </c:pt>
                <c:pt idx="196">
                  <c:v>0.13080354874999911</c:v>
                </c:pt>
                <c:pt idx="197">
                  <c:v>0.14577509868055594</c:v>
                </c:pt>
                <c:pt idx="198">
                  <c:v>0.24521978491319479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90-4936-B724-881AA57FA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9509504"/>
        <c:axId val="138030576"/>
      </c:lineChart>
      <c:catAx>
        <c:axId val="329509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8030576"/>
        <c:crosses val="autoZero"/>
        <c:auto val="1"/>
        <c:lblAlgn val="ctr"/>
        <c:lblOffset val="100"/>
        <c:noMultiLvlLbl val="0"/>
      </c:catAx>
      <c:valAx>
        <c:axId val="13803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295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medicinas!$I$1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medicinas!$I$2:$I$205</c:f>
              <c:numCache>
                <c:formatCode>General</c:formatCode>
                <c:ptCount val="204"/>
                <c:pt idx="6">
                  <c:v>-2.0418133506933944E-3</c:v>
                </c:pt>
                <c:pt idx="7">
                  <c:v>0.11986530105902776</c:v>
                </c:pt>
                <c:pt idx="8">
                  <c:v>6.0948050295138945E-2</c:v>
                </c:pt>
                <c:pt idx="9">
                  <c:v>9.8853916215277893E-2</c:v>
                </c:pt>
                <c:pt idx="10">
                  <c:v>1.6463975590277791E-2</c:v>
                </c:pt>
                <c:pt idx="11">
                  <c:v>1.7768561874999839E-2</c:v>
                </c:pt>
                <c:pt idx="12">
                  <c:v>-5.6720002083342803E-3</c:v>
                </c:pt>
                <c:pt idx="13">
                  <c:v>-7.0813966944445444E-2</c:v>
                </c:pt>
                <c:pt idx="14">
                  <c:v>-6.1174537152777375E-2</c:v>
                </c:pt>
                <c:pt idx="15">
                  <c:v>-7.8218897916665586E-2</c:v>
                </c:pt>
                <c:pt idx="16">
                  <c:v>-7.1038077291667001E-2</c:v>
                </c:pt>
                <c:pt idx="17">
                  <c:v>1.3164136979165186E-3</c:v>
                </c:pt>
                <c:pt idx="18">
                  <c:v>1.1679120260417591E-2</c:v>
                </c:pt>
                <c:pt idx="19">
                  <c:v>9.5070094392360804E-2</c:v>
                </c:pt>
                <c:pt idx="20">
                  <c:v>6.1841196406249743E-2</c:v>
                </c:pt>
                <c:pt idx="21">
                  <c:v>5.8895227048610999E-2</c:v>
                </c:pt>
                <c:pt idx="22">
                  <c:v>8.8414097569443628E-3</c:v>
                </c:pt>
                <c:pt idx="23">
                  <c:v>2.3699432638885909E-3</c:v>
                </c:pt>
                <c:pt idx="24">
                  <c:v>-5.4798596875000077E-2</c:v>
                </c:pt>
                <c:pt idx="25">
                  <c:v>-6.2174300555555805E-2</c:v>
                </c:pt>
                <c:pt idx="26">
                  <c:v>-6.9433729652777554E-2</c:v>
                </c:pt>
                <c:pt idx="27">
                  <c:v>-9.0006842083332428E-2</c:v>
                </c:pt>
                <c:pt idx="28">
                  <c:v>-4.4120818680555729E-2</c:v>
                </c:pt>
                <c:pt idx="29">
                  <c:v>0.11432255842013866</c:v>
                </c:pt>
                <c:pt idx="30">
                  <c:v>-1.1291650173600731E-3</c:v>
                </c:pt>
                <c:pt idx="31">
                  <c:v>6.255061828124997E-2</c:v>
                </c:pt>
                <c:pt idx="32">
                  <c:v>5.6892541128472252E-2</c:v>
                </c:pt>
                <c:pt idx="33">
                  <c:v>3.3172003437499153E-2</c:v>
                </c:pt>
                <c:pt idx="34">
                  <c:v>1.979562531249901E-2</c:v>
                </c:pt>
                <c:pt idx="35">
                  <c:v>1.5438389652777468E-2</c:v>
                </c:pt>
                <c:pt idx="36">
                  <c:v>-5.103723659722223E-2</c:v>
                </c:pt>
                <c:pt idx="37">
                  <c:v>1.0668816111110958E-2</c:v>
                </c:pt>
                <c:pt idx="38">
                  <c:v>-2.5369175763888363E-2</c:v>
                </c:pt>
                <c:pt idx="39">
                  <c:v>-7.18125270833323E-2</c:v>
                </c:pt>
                <c:pt idx="40">
                  <c:v>-3.9495645347222386E-2</c:v>
                </c:pt>
                <c:pt idx="41">
                  <c:v>-7.1492729079861317E-2</c:v>
                </c:pt>
                <c:pt idx="42">
                  <c:v>-5.1933177517359957E-2</c:v>
                </c:pt>
                <c:pt idx="43">
                  <c:v>6.7637464670138925E-2</c:v>
                </c:pt>
                <c:pt idx="44">
                  <c:v>7.1452162795137941E-2</c:v>
                </c:pt>
                <c:pt idx="45">
                  <c:v>5.6356552881943578E-2</c:v>
                </c:pt>
                <c:pt idx="46">
                  <c:v>2.6820080312499051E-2</c:v>
                </c:pt>
                <c:pt idx="47">
                  <c:v>8.0258529861110539E-3</c:v>
                </c:pt>
                <c:pt idx="48">
                  <c:v>-5.3826962430556374E-2</c:v>
                </c:pt>
                <c:pt idx="49">
                  <c:v>7.3326791666667238E-3</c:v>
                </c:pt>
                <c:pt idx="50">
                  <c:v>-5.6393290763888271E-2</c:v>
                </c:pt>
                <c:pt idx="51">
                  <c:v>-1.5021866249998905E-2</c:v>
                </c:pt>
                <c:pt idx="52">
                  <c:v>-3.4832870625000178E-2</c:v>
                </c:pt>
                <c:pt idx="53">
                  <c:v>-2.562046407986146E-2</c:v>
                </c:pt>
                <c:pt idx="54">
                  <c:v>1.7894899982640017E-2</c:v>
                </c:pt>
                <c:pt idx="55">
                  <c:v>5.9312048281249807E-2</c:v>
                </c:pt>
                <c:pt idx="56">
                  <c:v>2.3249361128472146E-2</c:v>
                </c:pt>
                <c:pt idx="57">
                  <c:v>5.9254240381943435E-2</c:v>
                </c:pt>
                <c:pt idx="58">
                  <c:v>4.1079879756944382E-2</c:v>
                </c:pt>
                <c:pt idx="59">
                  <c:v>-1.5300589513889212E-2</c:v>
                </c:pt>
                <c:pt idx="60">
                  <c:v>1.3703545625000004E-2</c:v>
                </c:pt>
                <c:pt idx="61">
                  <c:v>-1.9322392777777996E-2</c:v>
                </c:pt>
                <c:pt idx="62">
                  <c:v>-3.4431879097221729E-2</c:v>
                </c:pt>
                <c:pt idx="63">
                  <c:v>-1.4969187916665683E-2</c:v>
                </c:pt>
                <c:pt idx="64">
                  <c:v>-4.3252876458333644E-2</c:v>
                </c:pt>
                <c:pt idx="65">
                  <c:v>4.2529692586805445E-2</c:v>
                </c:pt>
                <c:pt idx="66">
                  <c:v>-4.4558542795137851E-2</c:v>
                </c:pt>
                <c:pt idx="67">
                  <c:v>2.6343988003471153E-2</c:v>
                </c:pt>
                <c:pt idx="68">
                  <c:v>-1.8439766649305578E-2</c:v>
                </c:pt>
                <c:pt idx="69">
                  <c:v>4.1458180937499145E-2</c:v>
                </c:pt>
                <c:pt idx="70">
                  <c:v>2.0724639756944496E-2</c:v>
                </c:pt>
                <c:pt idx="71">
                  <c:v>1.0470530208333134E-2</c:v>
                </c:pt>
                <c:pt idx="72">
                  <c:v>3.629102569444511E-3</c:v>
                </c:pt>
                <c:pt idx="73">
                  <c:v>-3.954451972222247E-2</c:v>
                </c:pt>
                <c:pt idx="74">
                  <c:v>-1.7872213194441433E-3</c:v>
                </c:pt>
                <c:pt idx="75">
                  <c:v>-1.2070770694443622E-2</c:v>
                </c:pt>
                <c:pt idx="76">
                  <c:v>-5.6609145902778102E-2</c:v>
                </c:pt>
                <c:pt idx="77">
                  <c:v>6.7360412031249817E-2</c:v>
                </c:pt>
                <c:pt idx="78">
                  <c:v>-9.2429281961804582E-2</c:v>
                </c:pt>
                <c:pt idx="79">
                  <c:v>4.8584313836805337E-2</c:v>
                </c:pt>
                <c:pt idx="80">
                  <c:v>1.4954942239583213E-2</c:v>
                </c:pt>
                <c:pt idx="81">
                  <c:v>4.2537724826388679E-2</c:v>
                </c:pt>
                <c:pt idx="82">
                  <c:v>2.6734358680554626E-3</c:v>
                </c:pt>
                <c:pt idx="83">
                  <c:v>1.3033374374999546E-2</c:v>
                </c:pt>
                <c:pt idx="84">
                  <c:v>5.430253472221945E-4</c:v>
                </c:pt>
                <c:pt idx="85">
                  <c:v>-6.0527342222222523E-2</c:v>
                </c:pt>
                <c:pt idx="86">
                  <c:v>5.890049791667018E-3</c:v>
                </c:pt>
                <c:pt idx="87">
                  <c:v>-5.737891430555464E-2</c:v>
                </c:pt>
                <c:pt idx="88">
                  <c:v>-5.0215137569444734E-2</c:v>
                </c:pt>
                <c:pt idx="89">
                  <c:v>7.3677489756940884E-3</c:v>
                </c:pt>
                <c:pt idx="90">
                  <c:v>-5.2432790295137949E-2</c:v>
                </c:pt>
                <c:pt idx="91">
                  <c:v>9.5268002256942985E-3</c:v>
                </c:pt>
                <c:pt idx="92">
                  <c:v>7.2281465017361046E-2</c:v>
                </c:pt>
                <c:pt idx="93">
                  <c:v>6.5604232638877269E-4</c:v>
                </c:pt>
                <c:pt idx="94">
                  <c:v>2.0073511458332804E-3</c:v>
                </c:pt>
                <c:pt idx="95">
                  <c:v>2.1129695208333105E-2</c:v>
                </c:pt>
                <c:pt idx="96">
                  <c:v>-5.5786429861111909E-3</c:v>
                </c:pt>
                <c:pt idx="97">
                  <c:v>1.5963743611110782E-2</c:v>
                </c:pt>
                <c:pt idx="98">
                  <c:v>1.5354838958333505E-2</c:v>
                </c:pt>
                <c:pt idx="99">
                  <c:v>-2.6458784583332395E-2</c:v>
                </c:pt>
                <c:pt idx="100">
                  <c:v>5.3494088194442346E-3</c:v>
                </c:pt>
                <c:pt idx="101">
                  <c:v>5.6136423090275556E-3</c:v>
                </c:pt>
                <c:pt idx="102">
                  <c:v>-4.4188892239582139E-2</c:v>
                </c:pt>
                <c:pt idx="103">
                  <c:v>1.0620231059027763E-2</c:v>
                </c:pt>
                <c:pt idx="104">
                  <c:v>-1.144904803819452E-2</c:v>
                </c:pt>
                <c:pt idx="105">
                  <c:v>6.5457942708335159E-3</c:v>
                </c:pt>
                <c:pt idx="106">
                  <c:v>-2.5578330208341216E-3</c:v>
                </c:pt>
                <c:pt idx="107">
                  <c:v>2.0354176874999991E-2</c:v>
                </c:pt>
                <c:pt idx="108">
                  <c:v>6.2778772291665647E-2</c:v>
                </c:pt>
                <c:pt idx="109">
                  <c:v>1.9933788055555603E-2</c:v>
                </c:pt>
                <c:pt idx="110">
                  <c:v>-6.6558209374999622E-2</c:v>
                </c:pt>
                <c:pt idx="111">
                  <c:v>1.4242120138890035E-2</c:v>
                </c:pt>
                <c:pt idx="112">
                  <c:v>-1.870144534722229E-2</c:v>
                </c:pt>
                <c:pt idx="113">
                  <c:v>-4.3936477135416874E-2</c:v>
                </c:pt>
                <c:pt idx="114">
                  <c:v>2.1342711093751049E-2</c:v>
                </c:pt>
                <c:pt idx="115">
                  <c:v>-6.1821061996527926E-2</c:v>
                </c:pt>
                <c:pt idx="116">
                  <c:v>2.8845287517359985E-2</c:v>
                </c:pt>
                <c:pt idx="117">
                  <c:v>1.3899363715277946E-2</c:v>
                </c:pt>
                <c:pt idx="118">
                  <c:v>7.8935069791666868E-3</c:v>
                </c:pt>
                <c:pt idx="119">
                  <c:v>-4.1982776180555875E-2</c:v>
                </c:pt>
                <c:pt idx="120">
                  <c:v>1.8245881736111105E-2</c:v>
                </c:pt>
                <c:pt idx="121">
                  <c:v>1.9115672499999715E-2</c:v>
                </c:pt>
                <c:pt idx="122">
                  <c:v>-6.8124719374999698E-2</c:v>
                </c:pt>
                <c:pt idx="123">
                  <c:v>4.0980389861111965E-2</c:v>
                </c:pt>
                <c:pt idx="124">
                  <c:v>0.10719844770833309</c:v>
                </c:pt>
                <c:pt idx="125">
                  <c:v>-9.4596189357639193E-2</c:v>
                </c:pt>
                <c:pt idx="126">
                  <c:v>6.9990538593751234E-2</c:v>
                </c:pt>
                <c:pt idx="127">
                  <c:v>-5.4425469218749578E-2</c:v>
                </c:pt>
                <c:pt idx="128">
                  <c:v>-6.0442627204860544E-2</c:v>
                </c:pt>
                <c:pt idx="129">
                  <c:v>-6.0249137847211975E-3</c:v>
                </c:pt>
                <c:pt idx="130">
                  <c:v>2.7312134479166694E-2</c:v>
                </c:pt>
                <c:pt idx="131">
                  <c:v>-2.3933813402776866E-2</c:v>
                </c:pt>
                <c:pt idx="132">
                  <c:v>5.3679534513889432E-2</c:v>
                </c:pt>
                <c:pt idx="133">
                  <c:v>1.0586078888890439E-2</c:v>
                </c:pt>
                <c:pt idx="134">
                  <c:v>5.4562637569436523E-2</c:v>
                </c:pt>
                <c:pt idx="135">
                  <c:v>2.3252262638891574E-2</c:v>
                </c:pt>
                <c:pt idx="136">
                  <c:v>-1.2308646458331851E-2</c:v>
                </c:pt>
                <c:pt idx="137">
                  <c:v>-1.6593755190970894E-2</c:v>
                </c:pt>
                <c:pt idx="138">
                  <c:v>-7.5255852951462698E-3</c:v>
                </c:pt>
                <c:pt idx="139">
                  <c:v>-5.6888285885415502E-2</c:v>
                </c:pt>
                <c:pt idx="140">
                  <c:v>-6.4075020260415505E-2</c:v>
                </c:pt>
                <c:pt idx="141">
                  <c:v>-3.3696684618054362E-2</c:v>
                </c:pt>
                <c:pt idx="142">
                  <c:v>-9.5601427430541674E-3</c:v>
                </c:pt>
                <c:pt idx="143">
                  <c:v>-2.9710711805542578E-3</c:v>
                </c:pt>
                <c:pt idx="144">
                  <c:v>1.7715537847223819E-2</c:v>
                </c:pt>
                <c:pt idx="145">
                  <c:v>-3.9772622777776455E-2</c:v>
                </c:pt>
                <c:pt idx="146">
                  <c:v>7.5267953402779864E-2</c:v>
                </c:pt>
                <c:pt idx="147">
                  <c:v>8.8983430416659237E-2</c:v>
                </c:pt>
                <c:pt idx="148">
                  <c:v>-3.0722809513887506E-2</c:v>
                </c:pt>
                <c:pt idx="149">
                  <c:v>3.7064891197918171E-2</c:v>
                </c:pt>
                <c:pt idx="150">
                  <c:v>-2.7339913628479567E-2</c:v>
                </c:pt>
                <c:pt idx="151">
                  <c:v>-4.3176716718748565E-2</c:v>
                </c:pt>
                <c:pt idx="152">
                  <c:v>-3.3554434427083002E-2</c:v>
                </c:pt>
                <c:pt idx="153">
                  <c:v>-3.2409472395832306E-2</c:v>
                </c:pt>
                <c:pt idx="154">
                  <c:v>-3.865096496527709E-2</c:v>
                </c:pt>
                <c:pt idx="155">
                  <c:v>-2.1264165624999859E-2</c:v>
                </c:pt>
                <c:pt idx="156">
                  <c:v>3.576165618055574E-2</c:v>
                </c:pt>
                <c:pt idx="157">
                  <c:v>-1.8604386111111225E-2</c:v>
                </c:pt>
                <c:pt idx="158">
                  <c:v>8.2349724513889389E-2</c:v>
                </c:pt>
                <c:pt idx="159">
                  <c:v>9.034097236111216E-2</c:v>
                </c:pt>
                <c:pt idx="160">
                  <c:v>0.11550379659722199</c:v>
                </c:pt>
                <c:pt idx="161">
                  <c:v>6.3973377586805491E-2</c:v>
                </c:pt>
                <c:pt idx="162">
                  <c:v>1.583632359375084E-2</c:v>
                </c:pt>
                <c:pt idx="163">
                  <c:v>-0.10068429449652794</c:v>
                </c:pt>
                <c:pt idx="164">
                  <c:v>-0.10768815859374986</c:v>
                </c:pt>
                <c:pt idx="165">
                  <c:v>-6.554983545138876E-2</c:v>
                </c:pt>
                <c:pt idx="166">
                  <c:v>-8.7000270520833367E-2</c:v>
                </c:pt>
                <c:pt idx="167">
                  <c:v>2.5257812152777365E-2</c:v>
                </c:pt>
                <c:pt idx="168">
                  <c:v>-2.9010172152777767E-2</c:v>
                </c:pt>
                <c:pt idx="169">
                  <c:v>4.9122648888888655E-2</c:v>
                </c:pt>
                <c:pt idx="170">
                  <c:v>9.1824312569444622E-2</c:v>
                </c:pt>
                <c:pt idx="171">
                  <c:v>-2.5607770972221222E-2</c:v>
                </c:pt>
                <c:pt idx="172">
                  <c:v>8.0581901319444205E-2</c:v>
                </c:pt>
                <c:pt idx="173">
                  <c:v>-9.5450071354170052E-3</c:v>
                </c:pt>
                <c:pt idx="174">
                  <c:v>9.4983874427084086E-2</c:v>
                </c:pt>
                <c:pt idx="175">
                  <c:v>-9.5081201996528031E-2</c:v>
                </c:pt>
                <c:pt idx="176">
                  <c:v>-4.4638880815972393E-2</c:v>
                </c:pt>
                <c:pt idx="177">
                  <c:v>-9.4996279895833424E-2</c:v>
                </c:pt>
                <c:pt idx="178">
                  <c:v>1.6111618368055525E-2</c:v>
                </c:pt>
                <c:pt idx="179">
                  <c:v>-2.8472104513889235E-2</c:v>
                </c:pt>
                <c:pt idx="180">
                  <c:v>-2.8738199930555684E-2</c:v>
                </c:pt>
                <c:pt idx="181">
                  <c:v>8.5435759999999555E-2</c:v>
                </c:pt>
                <c:pt idx="182">
                  <c:v>-1.1739881874999802E-2</c:v>
                </c:pt>
                <c:pt idx="183">
                  <c:v>0.1187942290277787</c:v>
                </c:pt>
                <c:pt idx="184">
                  <c:v>4.6387234652777498E-2</c:v>
                </c:pt>
                <c:pt idx="185">
                  <c:v>-4.2366034913194739E-2</c:v>
                </c:pt>
                <c:pt idx="186">
                  <c:v>9.1851694149306468E-2</c:v>
                </c:pt>
                <c:pt idx="187">
                  <c:v>-8.7433829496528004E-2</c:v>
                </c:pt>
                <c:pt idx="188">
                  <c:v>-5.0177070538194368E-2</c:v>
                </c:pt>
                <c:pt idx="189">
                  <c:v>-0.1789518598958329</c:v>
                </c:pt>
                <c:pt idx="190">
                  <c:v>-5.1954446076388328E-2</c:v>
                </c:pt>
                <c:pt idx="191">
                  <c:v>7.618381944499153E-5</c:v>
                </c:pt>
                <c:pt idx="192">
                  <c:v>2.2604755069445173E-2</c:v>
                </c:pt>
                <c:pt idx="193">
                  <c:v>9.2600343888889519E-2</c:v>
                </c:pt>
                <c:pt idx="194">
                  <c:v>6.9763127569445638E-2</c:v>
                </c:pt>
                <c:pt idx="195">
                  <c:v>1.4952157361103002E-2</c:v>
                </c:pt>
                <c:pt idx="196">
                  <c:v>4.6276684097222631E-2</c:v>
                </c:pt>
                <c:pt idx="197">
                  <c:v>-3.5398079913193825E-2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B3-46C9-B180-8B94C9B02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796304"/>
        <c:axId val="137912976"/>
      </c:lineChart>
      <c:catAx>
        <c:axId val="21179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7912976"/>
        <c:crosses val="autoZero"/>
        <c:auto val="1"/>
        <c:lblAlgn val="ctr"/>
        <c:lblOffset val="100"/>
        <c:noMultiLvlLbl val="0"/>
      </c:catAx>
      <c:valAx>
        <c:axId val="13791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79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752475</xdr:colOff>
      <xdr:row>16</xdr:row>
      <xdr:rowOff>28575</xdr:rowOff>
    </xdr:from>
    <xdr:to>
      <xdr:col>21</xdr:col>
      <xdr:colOff>752475</xdr:colOff>
      <xdr:row>30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6BCCEA-F4EE-B018-0F0B-2261358D0F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752475</xdr:colOff>
      <xdr:row>1</xdr:row>
      <xdr:rowOff>19050</xdr:rowOff>
    </xdr:from>
    <xdr:to>
      <xdr:col>21</xdr:col>
      <xdr:colOff>752475</xdr:colOff>
      <xdr:row>15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CA02525-ED20-D3FF-3431-3C52ABF18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1219200</xdr:colOff>
      <xdr:row>16</xdr:row>
      <xdr:rowOff>28575</xdr:rowOff>
    </xdr:from>
    <xdr:to>
      <xdr:col>15</xdr:col>
      <xdr:colOff>628650</xdr:colOff>
      <xdr:row>30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BC6D2C-50BC-01E4-462D-379BCE841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122858</xdr:colOff>
      <xdr:row>16</xdr:row>
      <xdr:rowOff>70954</xdr:rowOff>
    </xdr:from>
    <xdr:to>
      <xdr:col>28</xdr:col>
      <xdr:colOff>139423</xdr:colOff>
      <xdr:row>30</xdr:row>
      <xdr:rowOff>108502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B09133-8B73-4E59-AB79-D94185E11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1B478-1F6E-4B69-9FC0-464AEF742972}" name="Tabla1" displayName="Tabla1" ref="A1:I205" totalsRowShown="0">
  <autoFilter ref="A1:I205" xr:uid="{BFD1B478-1F6E-4B69-9FC0-464AEF742972}"/>
  <tableColumns count="9">
    <tableColumn id="1" xr3:uid="{145FAA5A-E7E7-47AB-BB9C-ACD666848393}" name="Month"/>
    <tableColumn id="2" xr3:uid="{AE9A3BAD-A0EE-4422-AFA5-83DDD7F44B7D}" name="fecha" dataDxfId="4"/>
    <tableColumn id="3" xr3:uid="{D5DCB364-70B9-4FD3-8918-1D7E0467B568}" name="Cost"/>
    <tableColumn id="4" xr3:uid="{C5342871-9A81-4D92-8C5A-4344549F89A9}" name="Media Móvil de orden 3" dataDxfId="3">
      <calculatedColumnFormula>AVERAGE(C1:C3)</calculatedColumnFormula>
    </tableColumn>
    <tableColumn id="5" xr3:uid="{99BFC024-739D-4230-A8D5-9EB40777678F}" name="Tendencia"/>
    <tableColumn id="6" xr3:uid="{856CFE16-693A-4D98-98F9-B005A4B51B21}" name="Serie sin tendencia"/>
    <tableColumn id="7" xr3:uid="{57A9921E-2168-4FCF-8632-8288B4E9E6A3}" name="Mes" dataDxfId="2">
      <calculatedColumnFormula>MONTH(Tabla1[[#This Row],[fecha]])</calculatedColumnFormula>
    </tableColumn>
    <tableColumn id="8" xr3:uid="{3EFFFA7F-188E-4F77-BAE2-17F197AFB30B}" name="Estacionalidad" dataDxfId="1">
      <calculatedColumnFormula>AVERAGEIF(Tabla1[Mes],L2,F2:F199)</calculatedColumnFormula>
    </tableColumn>
    <tableColumn id="9" xr3:uid="{59808288-5965-4B1B-B8F4-D6253036B80F}" name="Residual" dataDxfId="0">
      <calculatedColumnFormula>Tabla1[[#This Row],[Cost]]-Tabla1[[#This Row],[Tendencia]]-Tabla1[[#This Row],[Estacionalidad]]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CF95-E252-4AD2-BABA-3BBD61BEA75B}">
  <dimension ref="A1:M205"/>
  <sheetViews>
    <sheetView tabSelected="1" zoomScale="82" zoomScaleNormal="118" workbookViewId="0">
      <selection activeCell="P8" sqref="P8"/>
    </sheetView>
  </sheetViews>
  <sheetFormatPr baseColWidth="10" defaultRowHeight="15" x14ac:dyDescent="0.25"/>
  <cols>
    <col min="1" max="1" width="9.7109375" bestFit="1" customWidth="1"/>
    <col min="2" max="2" width="10.7109375" bestFit="1" customWidth="1"/>
    <col min="3" max="3" width="11" bestFit="1" customWidth="1"/>
    <col min="4" max="4" width="24.7109375" bestFit="1" customWidth="1"/>
    <col min="5" max="5" width="25.7109375" bestFit="1" customWidth="1"/>
    <col min="6" max="6" width="20.28515625" bestFit="1" customWidth="1"/>
    <col min="8" max="8" width="20.28515625" bestFit="1" customWidth="1"/>
    <col min="9" max="10" width="20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</row>
    <row r="2" spans="1:13" x14ac:dyDescent="0.25">
      <c r="A2" t="s">
        <v>3</v>
      </c>
      <c r="B2" s="1">
        <v>33420</v>
      </c>
      <c r="C2">
        <v>0.42979499999999998</v>
      </c>
      <c r="I2" s="2"/>
      <c r="L2" s="3">
        <v>1</v>
      </c>
      <c r="M2" s="3">
        <f ca="1">AVERAGEIF(Tabla1[Mes],L2,$F$2:$F$199)</f>
        <v>0.21042451446180468</v>
      </c>
    </row>
    <row r="3" spans="1:13" x14ac:dyDescent="0.25">
      <c r="A3" t="s">
        <v>4</v>
      </c>
      <c r="B3" s="1">
        <v>33451</v>
      </c>
      <c r="C3">
        <v>0.40090599999999998</v>
      </c>
      <c r="D3">
        <f t="shared" ref="D3:D65" si="0">AVERAGE(C2:C4)</f>
        <v>0.42095333333333329</v>
      </c>
      <c r="I3" s="2"/>
      <c r="L3" s="3">
        <v>2</v>
      </c>
      <c r="M3" s="3">
        <f ca="1">AVERAGEIF(Tabla1[Mes],L3,$F$2:$F$199)</f>
        <v>-0.24179140911458308</v>
      </c>
    </row>
    <row r="4" spans="1:13" x14ac:dyDescent="0.25">
      <c r="A4" t="s">
        <v>5</v>
      </c>
      <c r="B4" s="1">
        <v>33482</v>
      </c>
      <c r="C4">
        <v>0.43215900000000002</v>
      </c>
      <c r="D4">
        <f t="shared" si="0"/>
        <v>0.44186933333333328</v>
      </c>
      <c r="I4" s="2"/>
      <c r="L4" s="3">
        <v>3</v>
      </c>
      <c r="M4" s="3">
        <f ca="1">AVERAGEIF(Tabla1[Mes],L4,$F$2:$F$199)</f>
        <v>-0.17478011918402764</v>
      </c>
    </row>
    <row r="5" spans="1:13" x14ac:dyDescent="0.25">
      <c r="A5" t="s">
        <v>6</v>
      </c>
      <c r="B5" s="1">
        <v>33512</v>
      </c>
      <c r="C5">
        <v>0.49254300000000001</v>
      </c>
      <c r="D5">
        <f t="shared" si="0"/>
        <v>0.47569033333333333</v>
      </c>
      <c r="I5" s="2"/>
      <c r="L5" s="3">
        <v>4</v>
      </c>
      <c r="M5" s="3">
        <f ca="1">AVERAGEIF(Tabla1[Mes],L5,$F$2:$F$199)</f>
        <v>-0.19176819232638881</v>
      </c>
    </row>
    <row r="6" spans="1:13" x14ac:dyDescent="0.25">
      <c r="A6" t="s">
        <v>7</v>
      </c>
      <c r="B6" s="1">
        <v>33543</v>
      </c>
      <c r="C6">
        <v>0.50236899999999995</v>
      </c>
      <c r="D6">
        <f t="shared" si="0"/>
        <v>0.53252133333333329</v>
      </c>
      <c r="I6" s="2"/>
      <c r="L6" s="3">
        <v>5</v>
      </c>
      <c r="M6" s="3">
        <f ca="1">AVERAGEIF(Tabla1[Mes],L6,$F$2:$F$199)</f>
        <v>-0.1367608961458332</v>
      </c>
    </row>
    <row r="7" spans="1:13" x14ac:dyDescent="0.25">
      <c r="A7" t="s">
        <v>8</v>
      </c>
      <c r="B7" s="1">
        <v>33573</v>
      </c>
      <c r="C7">
        <v>0.60265199999999997</v>
      </c>
      <c r="D7">
        <f t="shared" si="0"/>
        <v>0.5883799999999999</v>
      </c>
      <c r="I7" s="2"/>
      <c r="L7" s="3">
        <v>6</v>
      </c>
      <c r="M7" s="3">
        <f ca="1">AVERAGEIF(Tabla1[Mes],L7,$F$2:$F$199)</f>
        <v>-9.9133701041666328E-2</v>
      </c>
    </row>
    <row r="8" spans="1:13" x14ac:dyDescent="0.25">
      <c r="A8" t="s">
        <v>9</v>
      </c>
      <c r="B8" s="1">
        <v>33604</v>
      </c>
      <c r="C8">
        <v>0.66011900000000001</v>
      </c>
      <c r="D8">
        <f t="shared" si="0"/>
        <v>0.53299699999999994</v>
      </c>
      <c r="E8">
        <f>AVERAGE(D3:D14)</f>
        <v>0.45173629888888872</v>
      </c>
      <c r="F8">
        <f>Tabla1[[#This Row],[Cost]]-Tabla1[[#This Row],[Tendencia]]</f>
        <v>0.20838270111111129</v>
      </c>
      <c r="G8">
        <f>MONTH(Tabla1[[#This Row],[fecha]])</f>
        <v>1</v>
      </c>
      <c r="H8">
        <f ca="1">_xlfn.XLOOKUP(Tabla1[[#This Row],[Mes]],$L$2:$L$13,$M$2:$M$13)</f>
        <v>0.21042451446180468</v>
      </c>
      <c r="I8" s="2">
        <f ca="1">Tabla1[[#This Row],[Cost]]-Tabla1[[#This Row],[Tendencia]]-Tabla1[[#This Row],[Estacionalidad]]</f>
        <v>-2.0418133506933944E-3</v>
      </c>
      <c r="L8" s="3">
        <v>7</v>
      </c>
      <c r="M8" s="3">
        <f ca="1">AVERAGEIF(Tabla1[Mes],L8,$F$2:$F$199)</f>
        <v>-1.1486355624999913E-2</v>
      </c>
    </row>
    <row r="9" spans="1:13" x14ac:dyDescent="0.25">
      <c r="A9" t="s">
        <v>10</v>
      </c>
      <c r="B9" s="1">
        <v>33635</v>
      </c>
      <c r="C9">
        <v>0.33622000000000002</v>
      </c>
      <c r="D9">
        <f t="shared" si="0"/>
        <v>0.44922900000000004</v>
      </c>
      <c r="E9">
        <f t="shared" ref="E9:E72" si="1">AVERAGE(D4:D15)</f>
        <v>0.45814610805555533</v>
      </c>
      <c r="F9">
        <f>Tabla1[[#This Row],[Cost]]-Tabla1[[#This Row],[Tendencia]]</f>
        <v>-0.12192610805555532</v>
      </c>
      <c r="G9">
        <f>MONTH(Tabla1[[#This Row],[fecha]])</f>
        <v>2</v>
      </c>
      <c r="H9">
        <f ca="1">_xlfn.XLOOKUP(Tabla1[[#This Row],[Mes]],$L$2:$L$13,$M$2:$M$13)</f>
        <v>-0.24179140911458308</v>
      </c>
      <c r="I9" s="2">
        <f ca="1">Tabla1[[#This Row],[Cost]]-Tabla1[[#This Row],[Tendencia]]-Tabla1[[#This Row],[Estacionalidad]]</f>
        <v>0.11986530105902776</v>
      </c>
      <c r="L9" s="3">
        <v>8</v>
      </c>
      <c r="M9" s="3">
        <f ca="1">AVERAGEIF(Tabla1[Mes],L9,$F$2:$F$199)</f>
        <v>3.9656656666666922E-2</v>
      </c>
    </row>
    <row r="10" spans="1:13" x14ac:dyDescent="0.25">
      <c r="A10" t="s">
        <v>11</v>
      </c>
      <c r="B10" s="1">
        <v>33664</v>
      </c>
      <c r="C10">
        <v>0.35134799999999999</v>
      </c>
      <c r="D10">
        <f t="shared" si="0"/>
        <v>0.35579199999999994</v>
      </c>
      <c r="E10">
        <f t="shared" si="1"/>
        <v>0.46518006888888869</v>
      </c>
      <c r="F10">
        <f>Tabla1[[#This Row],[Cost]]-Tabla1[[#This Row],[Tendencia]]</f>
        <v>-0.11383206888888869</v>
      </c>
      <c r="G10">
        <f>MONTH(Tabla1[[#This Row],[fecha]])</f>
        <v>3</v>
      </c>
      <c r="H10">
        <f ca="1">_xlfn.XLOOKUP(Tabla1[[#This Row],[Mes]],$L$2:$L$13,$M$2:$M$13)</f>
        <v>-0.17478011918402764</v>
      </c>
      <c r="I10" s="2">
        <f ca="1">Tabla1[[#This Row],[Cost]]-Tabla1[[#This Row],[Tendencia]]-Tabla1[[#This Row],[Estacionalidad]]</f>
        <v>6.0948050295138945E-2</v>
      </c>
      <c r="L10" s="3">
        <v>9</v>
      </c>
      <c r="M10" s="3">
        <f ca="1">AVERAGEIF(Tabla1[Mes],L10,$F$2:$F$199)</f>
        <v>8.483285409722191E-2</v>
      </c>
    </row>
    <row r="11" spans="1:13" x14ac:dyDescent="0.25">
      <c r="A11" t="s">
        <v>12</v>
      </c>
      <c r="B11" s="1">
        <v>33695</v>
      </c>
      <c r="C11">
        <v>0.37980799999999998</v>
      </c>
      <c r="D11">
        <f t="shared" si="0"/>
        <v>0.364319</v>
      </c>
      <c r="E11">
        <f t="shared" si="1"/>
        <v>0.4727222761111109</v>
      </c>
      <c r="F11">
        <f>Tabla1[[#This Row],[Cost]]-Tabla1[[#This Row],[Tendencia]]</f>
        <v>-9.2914276111110916E-2</v>
      </c>
      <c r="G11">
        <f>MONTH(Tabla1[[#This Row],[fecha]])</f>
        <v>4</v>
      </c>
      <c r="H11">
        <f ca="1">_xlfn.XLOOKUP(Tabla1[[#This Row],[Mes]],$L$2:$L$13,$M$2:$M$13)</f>
        <v>-0.19176819232638881</v>
      </c>
      <c r="I11" s="2">
        <f ca="1">Tabla1[[#This Row],[Cost]]-Tabla1[[#This Row],[Tendencia]]-Tabla1[[#This Row],[Estacionalidad]]</f>
        <v>9.8853916215277893E-2</v>
      </c>
      <c r="L11" s="3">
        <v>10</v>
      </c>
      <c r="M11" s="3">
        <f ca="1">AVERAGEIF(Tabla1[Mes],L11,$F$2:$F$199)</f>
        <v>0.13080354874999911</v>
      </c>
    </row>
    <row r="12" spans="1:13" x14ac:dyDescent="0.25">
      <c r="A12" t="s">
        <v>13</v>
      </c>
      <c r="B12" s="1">
        <v>33725</v>
      </c>
      <c r="C12">
        <v>0.36180099999999998</v>
      </c>
      <c r="D12">
        <f t="shared" si="0"/>
        <v>0.38404766666666662</v>
      </c>
      <c r="E12">
        <f t="shared" si="1"/>
        <v>0.48209792055555539</v>
      </c>
      <c r="F12">
        <f>Tabla1[[#This Row],[Cost]]-Tabla1[[#This Row],[Tendencia]]</f>
        <v>-0.12029692055555541</v>
      </c>
      <c r="G12">
        <f>MONTH(Tabla1[[#This Row],[fecha]])</f>
        <v>5</v>
      </c>
      <c r="H12">
        <f ca="1">_xlfn.XLOOKUP(Tabla1[[#This Row],[Mes]],$L$2:$L$13,$M$2:$M$13)</f>
        <v>-0.1367608961458332</v>
      </c>
      <c r="I12" s="2">
        <f ca="1">Tabla1[[#This Row],[Cost]]-Tabla1[[#This Row],[Tendencia]]-Tabla1[[#This Row],[Estacionalidad]]</f>
        <v>1.6463975590277791E-2</v>
      </c>
      <c r="L12" s="3">
        <v>11</v>
      </c>
      <c r="M12" s="3">
        <f ca="1">AVERAGEIF(Tabla1[Mes],L12,$F$2:$F$199)</f>
        <v>0.14577509868055594</v>
      </c>
    </row>
    <row r="13" spans="1:13" x14ac:dyDescent="0.25">
      <c r="A13" t="s">
        <v>14</v>
      </c>
      <c r="B13" s="1">
        <v>33756</v>
      </c>
      <c r="C13">
        <v>0.41053400000000001</v>
      </c>
      <c r="D13">
        <f t="shared" si="0"/>
        <v>0.41857455666666632</v>
      </c>
      <c r="E13">
        <f t="shared" si="1"/>
        <v>0.4918991391666665</v>
      </c>
      <c r="F13">
        <f>Tabla1[[#This Row],[Cost]]-Tabla1[[#This Row],[Tendencia]]</f>
        <v>-8.1365139166666489E-2</v>
      </c>
      <c r="G13">
        <f>MONTH(Tabla1[[#This Row],[fecha]])</f>
        <v>6</v>
      </c>
      <c r="H13">
        <f ca="1">_xlfn.XLOOKUP(Tabla1[[#This Row],[Mes]],$L$2:$L$13,$M$2:$M$13)</f>
        <v>-9.9133701041666328E-2</v>
      </c>
      <c r="I13" s="2">
        <f ca="1">Tabla1[[#This Row],[Cost]]-Tabla1[[#This Row],[Tendencia]]-Tabla1[[#This Row],[Estacionalidad]]</f>
        <v>1.7768561874999839E-2</v>
      </c>
      <c r="L13" s="3">
        <v>12</v>
      </c>
      <c r="M13" s="3">
        <f ca="1">AVERAGEIF(Tabla1[Mes],L13,$F$2:$F$199)</f>
        <v>0.24521978491319479</v>
      </c>
    </row>
    <row r="14" spans="1:13" x14ac:dyDescent="0.25">
      <c r="A14" t="s">
        <v>15</v>
      </c>
      <c r="B14" s="1">
        <v>33786</v>
      </c>
      <c r="C14">
        <v>0.48338866999999902</v>
      </c>
      <c r="D14">
        <f t="shared" si="0"/>
        <v>0.45646202999999935</v>
      </c>
      <c r="E14">
        <f t="shared" si="1"/>
        <v>0.50054702583333321</v>
      </c>
      <c r="F14">
        <f>Tabla1[[#This Row],[Cost]]-Tabla1[[#This Row],[Tendencia]]</f>
        <v>-1.7158355833334193E-2</v>
      </c>
      <c r="G14">
        <f>MONTH(Tabla1[[#This Row],[fecha]])</f>
        <v>7</v>
      </c>
      <c r="H14">
        <f ca="1">_xlfn.XLOOKUP(Tabla1[[#This Row],[Mes]],$L$2:$L$13,$M$2:$M$13)</f>
        <v>-1.1486355624999913E-2</v>
      </c>
      <c r="I14" s="2">
        <f ca="1">Tabla1[[#This Row],[Cost]]-Tabla1[[#This Row],[Tendencia]]-Tabla1[[#This Row],[Estacionalidad]]</f>
        <v>-5.6720002083342803E-3</v>
      </c>
    </row>
    <row r="15" spans="1:13" x14ac:dyDescent="0.25">
      <c r="A15" t="s">
        <v>16</v>
      </c>
      <c r="B15" s="1">
        <v>33817</v>
      </c>
      <c r="C15">
        <v>0.47546341999999903</v>
      </c>
      <c r="D15">
        <f t="shared" si="0"/>
        <v>0.49787104333333271</v>
      </c>
      <c r="E15">
        <f t="shared" si="1"/>
        <v>0.50662073027777754</v>
      </c>
      <c r="F15">
        <f>Tabla1[[#This Row],[Cost]]-Tabla1[[#This Row],[Tendencia]]</f>
        <v>-3.1157310277778516E-2</v>
      </c>
      <c r="G15">
        <f>MONTH(Tabla1[[#This Row],[fecha]])</f>
        <v>8</v>
      </c>
      <c r="H15">
        <f ca="1">_xlfn.XLOOKUP(Tabla1[[#This Row],[Mes]],$L$2:$L$13,$M$2:$M$13)</f>
        <v>3.9656656666666922E-2</v>
      </c>
      <c r="I15" s="2">
        <f ca="1">Tabla1[[#This Row],[Cost]]-Tabla1[[#This Row],[Tendencia]]-Tabla1[[#This Row],[Estacionalidad]]</f>
        <v>-7.0813966944445444E-2</v>
      </c>
    </row>
    <row r="16" spans="1:13" x14ac:dyDescent="0.25">
      <c r="A16" t="s">
        <v>17</v>
      </c>
      <c r="B16" s="1">
        <v>33848</v>
      </c>
      <c r="C16">
        <v>0.53476104000000002</v>
      </c>
      <c r="D16">
        <f t="shared" si="0"/>
        <v>0.52627686333333301</v>
      </c>
      <c r="E16">
        <f t="shared" si="1"/>
        <v>0.51110272305555549</v>
      </c>
      <c r="F16">
        <f>Tabla1[[#This Row],[Cost]]-Tabla1[[#This Row],[Tendencia]]</f>
        <v>2.3658316944444535E-2</v>
      </c>
      <c r="G16">
        <f>MONTH(Tabla1[[#This Row],[fecha]])</f>
        <v>9</v>
      </c>
      <c r="H16">
        <f ca="1">_xlfn.XLOOKUP(Tabla1[[#This Row],[Mes]],$L$2:$L$13,$M$2:$M$13)</f>
        <v>8.483285409722191E-2</v>
      </c>
      <c r="I16" s="2">
        <f ca="1">Tabla1[[#This Row],[Cost]]-Tabla1[[#This Row],[Tendencia]]-Tabla1[[#This Row],[Estacionalidad]]</f>
        <v>-6.1174537152777375E-2</v>
      </c>
    </row>
    <row r="17" spans="1:9" x14ac:dyDescent="0.25">
      <c r="A17" t="s">
        <v>18</v>
      </c>
      <c r="B17" s="1">
        <v>33878</v>
      </c>
      <c r="C17">
        <v>0.56860613000000004</v>
      </c>
      <c r="D17">
        <f t="shared" si="0"/>
        <v>0.56619682000000005</v>
      </c>
      <c r="E17">
        <f t="shared" si="1"/>
        <v>0.51602147916666652</v>
      </c>
      <c r="F17">
        <f>Tabla1[[#This Row],[Cost]]-Tabla1[[#This Row],[Tendencia]]</f>
        <v>5.2584650833333524E-2</v>
      </c>
      <c r="G17">
        <f>MONTH(Tabla1[[#This Row],[fecha]])</f>
        <v>10</v>
      </c>
      <c r="H17">
        <f ca="1">_xlfn.XLOOKUP(Tabla1[[#This Row],[Mes]],$L$2:$L$13,$M$2:$M$13)</f>
        <v>0.13080354874999911</v>
      </c>
      <c r="I17" s="2">
        <f ca="1">Tabla1[[#This Row],[Cost]]-Tabla1[[#This Row],[Tendencia]]-Tabla1[[#This Row],[Estacionalidad]]</f>
        <v>-7.8218897916665586E-2</v>
      </c>
    </row>
    <row r="18" spans="1:9" x14ac:dyDescent="0.25">
      <c r="A18" t="s">
        <v>19</v>
      </c>
      <c r="B18" s="1">
        <v>33909</v>
      </c>
      <c r="C18">
        <v>0.59522328999999996</v>
      </c>
      <c r="D18">
        <f t="shared" si="0"/>
        <v>0.6450290666666666</v>
      </c>
      <c r="E18">
        <f t="shared" si="1"/>
        <v>0.52048626861111102</v>
      </c>
      <c r="F18">
        <f>Tabla1[[#This Row],[Cost]]-Tabla1[[#This Row],[Tendencia]]</f>
        <v>7.4737021388888936E-2</v>
      </c>
      <c r="G18">
        <f>MONTH(Tabla1[[#This Row],[fecha]])</f>
        <v>11</v>
      </c>
      <c r="H18">
        <f ca="1">_xlfn.XLOOKUP(Tabla1[[#This Row],[Mes]],$L$2:$L$13,$M$2:$M$13)</f>
        <v>0.14577509868055594</v>
      </c>
      <c r="I18" s="2">
        <f ca="1">Tabla1[[#This Row],[Cost]]-Tabla1[[#This Row],[Tendencia]]-Tabla1[[#This Row],[Estacionalidad]]</f>
        <v>-7.1038077291667001E-2</v>
      </c>
    </row>
    <row r="19" spans="1:9" x14ac:dyDescent="0.25">
      <c r="A19" t="s">
        <v>20</v>
      </c>
      <c r="B19" s="1">
        <v>33939</v>
      </c>
      <c r="C19">
        <v>0.77125778</v>
      </c>
      <c r="D19">
        <f t="shared" si="0"/>
        <v>0.70599462333333329</v>
      </c>
      <c r="E19">
        <f t="shared" si="1"/>
        <v>0.52472158138888869</v>
      </c>
      <c r="F19">
        <f>Tabla1[[#This Row],[Cost]]-Tabla1[[#This Row],[Tendencia]]</f>
        <v>0.24653619861111131</v>
      </c>
      <c r="G19">
        <f>MONTH(Tabla1[[#This Row],[fecha]])</f>
        <v>12</v>
      </c>
      <c r="H19">
        <f ca="1">_xlfn.XLOOKUP(Tabla1[[#This Row],[Mes]],$L$2:$L$13,$M$2:$M$13)</f>
        <v>0.24521978491319479</v>
      </c>
      <c r="I19" s="2">
        <f ca="1">Tabla1[[#This Row],[Cost]]-Tabla1[[#This Row],[Tendencia]]-Tabla1[[#This Row],[Estacionalidad]]</f>
        <v>1.3164136979165186E-3</v>
      </c>
    </row>
    <row r="20" spans="1:9" x14ac:dyDescent="0.25">
      <c r="A20" t="s">
        <v>21</v>
      </c>
      <c r="B20" s="1">
        <v>33970</v>
      </c>
      <c r="C20">
        <v>0.75150280000000003</v>
      </c>
      <c r="D20">
        <f t="shared" si="0"/>
        <v>0.63677163999999997</v>
      </c>
      <c r="E20">
        <f t="shared" si="1"/>
        <v>0.52939916527777775</v>
      </c>
      <c r="F20">
        <f>Tabla1[[#This Row],[Cost]]-Tabla1[[#This Row],[Tendencia]]</f>
        <v>0.22210363472222228</v>
      </c>
      <c r="G20">
        <f>MONTH(Tabla1[[#This Row],[fecha]])</f>
        <v>1</v>
      </c>
      <c r="H20">
        <f ca="1">_xlfn.XLOOKUP(Tabla1[[#This Row],[Mes]],$L$2:$L$13,$M$2:$M$13)</f>
        <v>0.21042451446180468</v>
      </c>
      <c r="I20" s="2">
        <f ca="1">Tabla1[[#This Row],[Cost]]-Tabla1[[#This Row],[Tendencia]]-Tabla1[[#This Row],[Estacionalidad]]</f>
        <v>1.1679120260417591E-2</v>
      </c>
    </row>
    <row r="21" spans="1:9" x14ac:dyDescent="0.25">
      <c r="A21" t="s">
        <v>22</v>
      </c>
      <c r="B21" s="1">
        <v>34001</v>
      </c>
      <c r="C21">
        <v>0.38755434</v>
      </c>
      <c r="D21">
        <f t="shared" si="0"/>
        <v>0.52211345333333337</v>
      </c>
      <c r="E21">
        <f t="shared" si="1"/>
        <v>0.53427565472222227</v>
      </c>
      <c r="F21">
        <f>Tabla1[[#This Row],[Cost]]-Tabla1[[#This Row],[Tendencia]]</f>
        <v>-0.14672131472222227</v>
      </c>
      <c r="G21">
        <f>MONTH(Tabla1[[#This Row],[fecha]])</f>
        <v>2</v>
      </c>
      <c r="H21">
        <f ca="1">_xlfn.XLOOKUP(Tabla1[[#This Row],[Mes]],$L$2:$L$13,$M$2:$M$13)</f>
        <v>-0.24179140911458308</v>
      </c>
      <c r="I21" s="2">
        <f ca="1">Tabla1[[#This Row],[Cost]]-Tabla1[[#This Row],[Tendencia]]-Tabla1[[#This Row],[Estacionalidad]]</f>
        <v>9.5070094392360804E-2</v>
      </c>
    </row>
    <row r="22" spans="1:9" x14ac:dyDescent="0.25">
      <c r="A22" t="s">
        <v>23</v>
      </c>
      <c r="B22" s="1">
        <v>34029</v>
      </c>
      <c r="C22">
        <v>0.42728322000000002</v>
      </c>
      <c r="D22">
        <f t="shared" si="0"/>
        <v>0.40957591333333337</v>
      </c>
      <c r="E22">
        <f t="shared" si="1"/>
        <v>0.54022214277777791</v>
      </c>
      <c r="F22">
        <f>Tabla1[[#This Row],[Cost]]-Tabla1[[#This Row],[Tendencia]]</f>
        <v>-0.11293892277777789</v>
      </c>
      <c r="G22">
        <f>MONTH(Tabla1[[#This Row],[fecha]])</f>
        <v>3</v>
      </c>
      <c r="H22">
        <f ca="1">_xlfn.XLOOKUP(Tabla1[[#This Row],[Mes]],$L$2:$L$13,$M$2:$M$13)</f>
        <v>-0.17478011918402764</v>
      </c>
      <c r="I22" s="2">
        <f ca="1">Tabla1[[#This Row],[Cost]]-Tabla1[[#This Row],[Tendencia]]-Tabla1[[#This Row],[Estacionalidad]]</f>
        <v>6.1841196406249743E-2</v>
      </c>
    </row>
    <row r="23" spans="1:9" x14ac:dyDescent="0.25">
      <c r="A23" t="s">
        <v>24</v>
      </c>
      <c r="B23" s="1">
        <v>34060</v>
      </c>
      <c r="C23">
        <v>0.41389018</v>
      </c>
      <c r="D23">
        <f t="shared" si="0"/>
        <v>0.42334407333333335</v>
      </c>
      <c r="E23">
        <f t="shared" si="1"/>
        <v>0.54676314527777781</v>
      </c>
      <c r="F23">
        <f>Tabla1[[#This Row],[Cost]]-Tabla1[[#This Row],[Tendencia]]</f>
        <v>-0.13287296527777781</v>
      </c>
      <c r="G23">
        <f>MONTH(Tabla1[[#This Row],[fecha]])</f>
        <v>4</v>
      </c>
      <c r="H23">
        <f ca="1">_xlfn.XLOOKUP(Tabla1[[#This Row],[Mes]],$L$2:$L$13,$M$2:$M$13)</f>
        <v>-0.19176819232638881</v>
      </c>
      <c r="I23" s="2">
        <f ca="1">Tabla1[[#This Row],[Cost]]-Tabla1[[#This Row],[Tendencia]]-Tabla1[[#This Row],[Estacionalidad]]</f>
        <v>5.8895227048610999E-2</v>
      </c>
    </row>
    <row r="24" spans="1:9" x14ac:dyDescent="0.25">
      <c r="A24" t="s">
        <v>25</v>
      </c>
      <c r="B24" s="1">
        <v>34090</v>
      </c>
      <c r="C24">
        <v>0.42885881999999997</v>
      </c>
      <c r="D24">
        <f t="shared" si="0"/>
        <v>0.43762513999999997</v>
      </c>
      <c r="E24">
        <f t="shared" si="1"/>
        <v>0.55677830638888881</v>
      </c>
      <c r="F24">
        <f>Tabla1[[#This Row],[Cost]]-Tabla1[[#This Row],[Tendencia]]</f>
        <v>-0.12791948638888884</v>
      </c>
      <c r="G24">
        <f>MONTH(Tabla1[[#This Row],[fecha]])</f>
        <v>5</v>
      </c>
      <c r="H24">
        <f ca="1">_xlfn.XLOOKUP(Tabla1[[#This Row],[Mes]],$L$2:$L$13,$M$2:$M$13)</f>
        <v>-0.1367608961458332</v>
      </c>
      <c r="I24" s="2">
        <f ca="1">Tabla1[[#This Row],[Cost]]-Tabla1[[#This Row],[Tendencia]]-Tabla1[[#This Row],[Estacionalidad]]</f>
        <v>8.8414097569443628E-3</v>
      </c>
    </row>
    <row r="25" spans="1:9" x14ac:dyDescent="0.25">
      <c r="A25" t="s">
        <v>26</v>
      </c>
      <c r="B25" s="1">
        <v>34121</v>
      </c>
      <c r="C25">
        <v>0.47012641999999999</v>
      </c>
      <c r="D25">
        <f t="shared" si="0"/>
        <v>0.46939831000000004</v>
      </c>
      <c r="E25">
        <f t="shared" si="1"/>
        <v>0.56689017777777773</v>
      </c>
      <c r="F25">
        <f>Tabla1[[#This Row],[Cost]]-Tabla1[[#This Row],[Tendencia]]</f>
        <v>-9.6763757777777737E-2</v>
      </c>
      <c r="G25">
        <f>MONTH(Tabla1[[#This Row],[fecha]])</f>
        <v>6</v>
      </c>
      <c r="H25">
        <f ca="1">_xlfn.XLOOKUP(Tabla1[[#This Row],[Mes]],$L$2:$L$13,$M$2:$M$13)</f>
        <v>-9.9133701041666328E-2</v>
      </c>
      <c r="I25" s="2">
        <f ca="1">Tabla1[[#This Row],[Cost]]-Tabla1[[#This Row],[Tendencia]]-Tabla1[[#This Row],[Estacionalidad]]</f>
        <v>2.3699432638885909E-3</v>
      </c>
    </row>
    <row r="26" spans="1:9" x14ac:dyDescent="0.25">
      <c r="A26" t="s">
        <v>27</v>
      </c>
      <c r="B26" s="1">
        <v>34151</v>
      </c>
      <c r="C26">
        <v>0.50920969000000005</v>
      </c>
      <c r="D26">
        <f t="shared" si="0"/>
        <v>0.51259303666666667</v>
      </c>
      <c r="E26">
        <f t="shared" si="1"/>
        <v>0.57549464250000004</v>
      </c>
      <c r="F26">
        <f>Tabla1[[#This Row],[Cost]]-Tabla1[[#This Row],[Tendencia]]</f>
        <v>-6.6284952499999994E-2</v>
      </c>
      <c r="G26">
        <f>MONTH(Tabla1[[#This Row],[fecha]])</f>
        <v>7</v>
      </c>
      <c r="H26">
        <f ca="1">_xlfn.XLOOKUP(Tabla1[[#This Row],[Mes]],$L$2:$L$13,$M$2:$M$13)</f>
        <v>-1.1486355624999913E-2</v>
      </c>
      <c r="I26" s="2">
        <f ca="1">Tabla1[[#This Row],[Cost]]-Tabla1[[#This Row],[Tendencia]]-Tabla1[[#This Row],[Estacionalidad]]</f>
        <v>-5.4798596875000077E-2</v>
      </c>
    </row>
    <row r="27" spans="1:9" x14ac:dyDescent="0.25">
      <c r="A27" t="s">
        <v>28</v>
      </c>
      <c r="B27" s="1">
        <v>34182</v>
      </c>
      <c r="C27">
        <v>0.55844300000000002</v>
      </c>
      <c r="D27">
        <f t="shared" si="0"/>
        <v>0.55638891666666668</v>
      </c>
      <c r="E27">
        <f t="shared" si="1"/>
        <v>0.58096064388888891</v>
      </c>
      <c r="F27">
        <f>Tabla1[[#This Row],[Cost]]-Tabla1[[#This Row],[Tendencia]]</f>
        <v>-2.2517643888888883E-2</v>
      </c>
      <c r="G27">
        <f>MONTH(Tabla1[[#This Row],[fecha]])</f>
        <v>8</v>
      </c>
      <c r="H27">
        <f ca="1">_xlfn.XLOOKUP(Tabla1[[#This Row],[Mes]],$L$2:$L$13,$M$2:$M$13)</f>
        <v>3.9656656666666922E-2</v>
      </c>
      <c r="I27" s="2">
        <f ca="1">Tabla1[[#This Row],[Cost]]-Tabla1[[#This Row],[Tendencia]]-Tabla1[[#This Row],[Estacionalidad]]</f>
        <v>-6.2174300555555805E-2</v>
      </c>
    </row>
    <row r="28" spans="1:9" x14ac:dyDescent="0.25">
      <c r="A28" t="s">
        <v>29</v>
      </c>
      <c r="B28" s="1">
        <v>34213</v>
      </c>
      <c r="C28">
        <v>0.60151405999999996</v>
      </c>
      <c r="D28">
        <f t="shared" si="0"/>
        <v>0.59763471999999995</v>
      </c>
      <c r="E28">
        <f t="shared" si="1"/>
        <v>0.58611493555555561</v>
      </c>
      <c r="F28">
        <f>Tabla1[[#This Row],[Cost]]-Tabla1[[#This Row],[Tendencia]]</f>
        <v>1.5399124444444356E-2</v>
      </c>
      <c r="G28">
        <f>MONTH(Tabla1[[#This Row],[fecha]])</f>
        <v>9</v>
      </c>
      <c r="H28">
        <f ca="1">_xlfn.XLOOKUP(Tabla1[[#This Row],[Mes]],$L$2:$L$13,$M$2:$M$13)</f>
        <v>8.483285409722191E-2</v>
      </c>
      <c r="I28" s="2">
        <f ca="1">Tabla1[[#This Row],[Cost]]-Tabla1[[#This Row],[Tendencia]]-Tabla1[[#This Row],[Estacionalidad]]</f>
        <v>-6.9433729652777554E-2</v>
      </c>
    </row>
    <row r="29" spans="1:9" x14ac:dyDescent="0.25">
      <c r="A29" t="s">
        <v>30</v>
      </c>
      <c r="B29" s="1">
        <v>34243</v>
      </c>
      <c r="C29">
        <v>0.63294709999999998</v>
      </c>
      <c r="D29">
        <f t="shared" si="0"/>
        <v>0.64468884999999998</v>
      </c>
      <c r="E29">
        <f t="shared" si="1"/>
        <v>0.5921503933333333</v>
      </c>
      <c r="F29">
        <f>Tabla1[[#This Row],[Cost]]-Tabla1[[#This Row],[Tendencia]]</f>
        <v>4.0796706666666682E-2</v>
      </c>
      <c r="G29">
        <f>MONTH(Tabla1[[#This Row],[fecha]])</f>
        <v>10</v>
      </c>
      <c r="H29">
        <f ca="1">_xlfn.XLOOKUP(Tabla1[[#This Row],[Mes]],$L$2:$L$13,$M$2:$M$13)</f>
        <v>0.13080354874999911</v>
      </c>
      <c r="I29" s="2">
        <f ca="1">Tabla1[[#This Row],[Cost]]-Tabla1[[#This Row],[Tendencia]]-Tabla1[[#This Row],[Estacionalidad]]</f>
        <v>-9.0006842083332428E-2</v>
      </c>
    </row>
    <row r="30" spans="1:9" x14ac:dyDescent="0.25">
      <c r="A30" t="s">
        <v>31</v>
      </c>
      <c r="B30" s="1">
        <v>34274</v>
      </c>
      <c r="C30">
        <v>0.69960538999999999</v>
      </c>
      <c r="D30">
        <f t="shared" si="0"/>
        <v>0.76521099999999986</v>
      </c>
      <c r="E30">
        <f t="shared" si="1"/>
        <v>0.59795110999999979</v>
      </c>
      <c r="F30">
        <f>Tabla1[[#This Row],[Cost]]-Tabla1[[#This Row],[Tendencia]]</f>
        <v>0.10165428000000021</v>
      </c>
      <c r="G30">
        <f>MONTH(Tabla1[[#This Row],[fecha]])</f>
        <v>11</v>
      </c>
      <c r="H30">
        <f ca="1">_xlfn.XLOOKUP(Tabla1[[#This Row],[Mes]],$L$2:$L$13,$M$2:$M$13)</f>
        <v>0.14577509868055594</v>
      </c>
      <c r="I30" s="2">
        <f ca="1">Tabla1[[#This Row],[Cost]]-Tabla1[[#This Row],[Tendencia]]-Tabla1[[#This Row],[Estacionalidad]]</f>
        <v>-4.4120818680555729E-2</v>
      </c>
    </row>
    <row r="31" spans="1:9" x14ac:dyDescent="0.25">
      <c r="A31" t="s">
        <v>32</v>
      </c>
      <c r="B31" s="1">
        <v>34304</v>
      </c>
      <c r="C31">
        <v>0.96308050999999995</v>
      </c>
      <c r="D31">
        <f t="shared" si="0"/>
        <v>0.82733708000000006</v>
      </c>
      <c r="E31">
        <f t="shared" si="1"/>
        <v>0.60353816666666649</v>
      </c>
      <c r="F31">
        <f>Tabla1[[#This Row],[Cost]]-Tabla1[[#This Row],[Tendencia]]</f>
        <v>0.35954234333333346</v>
      </c>
      <c r="G31">
        <f>MONTH(Tabla1[[#This Row],[fecha]])</f>
        <v>12</v>
      </c>
      <c r="H31">
        <f ca="1">_xlfn.XLOOKUP(Tabla1[[#This Row],[Mes]],$L$2:$L$13,$M$2:$M$13)</f>
        <v>0.24521978491319479</v>
      </c>
      <c r="I31" s="2">
        <f ca="1">Tabla1[[#This Row],[Cost]]-Tabla1[[#This Row],[Tendencia]]-Tabla1[[#This Row],[Estacionalidad]]</f>
        <v>0.11432255842013866</v>
      </c>
    </row>
    <row r="32" spans="1:9" x14ac:dyDescent="0.25">
      <c r="A32" t="s">
        <v>33</v>
      </c>
      <c r="B32" s="1">
        <v>34335</v>
      </c>
      <c r="C32">
        <v>0.81932534000000001</v>
      </c>
      <c r="D32">
        <f t="shared" si="0"/>
        <v>0.74002521666666665</v>
      </c>
      <c r="E32">
        <f t="shared" si="1"/>
        <v>0.6100299905555554</v>
      </c>
      <c r="F32">
        <f>Tabla1[[#This Row],[Cost]]-Tabla1[[#This Row],[Tendencia]]</f>
        <v>0.20929534944444461</v>
      </c>
      <c r="G32">
        <f>MONTH(Tabla1[[#This Row],[fecha]])</f>
        <v>1</v>
      </c>
      <c r="H32">
        <f ca="1">_xlfn.XLOOKUP(Tabla1[[#This Row],[Mes]],$L$2:$L$13,$M$2:$M$13)</f>
        <v>0.21042451446180468</v>
      </c>
      <c r="I32" s="2">
        <f ca="1">Tabla1[[#This Row],[Cost]]-Tabla1[[#This Row],[Tendencia]]-Tabla1[[#This Row],[Estacionalidad]]</f>
        <v>-1.1291650173600731E-3</v>
      </c>
    </row>
    <row r="33" spans="1:9" x14ac:dyDescent="0.25">
      <c r="A33" t="s">
        <v>34</v>
      </c>
      <c r="B33" s="1">
        <v>34366</v>
      </c>
      <c r="C33">
        <v>0.4376698</v>
      </c>
      <c r="D33">
        <f t="shared" si="0"/>
        <v>0.58770546999999995</v>
      </c>
      <c r="E33">
        <f t="shared" si="1"/>
        <v>0.61691059083333311</v>
      </c>
      <c r="F33">
        <f>Tabla1[[#This Row],[Cost]]-Tabla1[[#This Row],[Tendencia]]</f>
        <v>-0.17924079083333311</v>
      </c>
      <c r="G33">
        <f>MONTH(Tabla1[[#This Row],[fecha]])</f>
        <v>2</v>
      </c>
      <c r="H33">
        <f ca="1">_xlfn.XLOOKUP(Tabla1[[#This Row],[Mes]],$L$2:$L$13,$M$2:$M$13)</f>
        <v>-0.24179140911458308</v>
      </c>
      <c r="I33" s="2">
        <f ca="1">Tabla1[[#This Row],[Cost]]-Tabla1[[#This Row],[Tendencia]]-Tabla1[[#This Row],[Estacionalidad]]</f>
        <v>6.255061828124997E-2</v>
      </c>
    </row>
    <row r="34" spans="1:9" x14ac:dyDescent="0.25">
      <c r="A34" t="s">
        <v>35</v>
      </c>
      <c r="B34" s="1">
        <v>34394</v>
      </c>
      <c r="C34">
        <v>0.50612126999999996</v>
      </c>
      <c r="D34">
        <f t="shared" si="0"/>
        <v>0.47142741333333299</v>
      </c>
      <c r="E34">
        <f t="shared" si="1"/>
        <v>0.62400884805555534</v>
      </c>
      <c r="F34">
        <f>Tabla1[[#This Row],[Cost]]-Tabla1[[#This Row],[Tendencia]]</f>
        <v>-0.11788757805555539</v>
      </c>
      <c r="G34">
        <f>MONTH(Tabla1[[#This Row],[fecha]])</f>
        <v>3</v>
      </c>
      <c r="H34">
        <f ca="1">_xlfn.XLOOKUP(Tabla1[[#This Row],[Mes]],$L$2:$L$13,$M$2:$M$13)</f>
        <v>-0.17478011918402764</v>
      </c>
      <c r="I34" s="2">
        <f ca="1">Tabla1[[#This Row],[Cost]]-Tabla1[[#This Row],[Tendencia]]-Tabla1[[#This Row],[Estacionalidad]]</f>
        <v>5.6892541128472252E-2</v>
      </c>
    </row>
    <row r="35" spans="1:9" x14ac:dyDescent="0.25">
      <c r="A35" t="s">
        <v>36</v>
      </c>
      <c r="B35" s="1">
        <v>34425</v>
      </c>
      <c r="C35">
        <v>0.47049116999999901</v>
      </c>
      <c r="D35">
        <f t="shared" si="0"/>
        <v>0.495769566666666</v>
      </c>
      <c r="E35">
        <f t="shared" si="1"/>
        <v>0.62908735888888867</v>
      </c>
      <c r="F35">
        <f>Tabla1[[#This Row],[Cost]]-Tabla1[[#This Row],[Tendencia]]</f>
        <v>-0.15859618888888966</v>
      </c>
      <c r="G35">
        <f>MONTH(Tabla1[[#This Row],[fecha]])</f>
        <v>4</v>
      </c>
      <c r="H35">
        <f ca="1">_xlfn.XLOOKUP(Tabla1[[#This Row],[Mes]],$L$2:$L$13,$M$2:$M$13)</f>
        <v>-0.19176819232638881</v>
      </c>
      <c r="I35" s="2">
        <f ca="1">Tabla1[[#This Row],[Cost]]-Tabla1[[#This Row],[Tendencia]]-Tabla1[[#This Row],[Estacionalidad]]</f>
        <v>3.3172003437499153E-2</v>
      </c>
    </row>
    <row r="36" spans="1:9" x14ac:dyDescent="0.25">
      <c r="A36" t="s">
        <v>37</v>
      </c>
      <c r="B36" s="1">
        <v>34455</v>
      </c>
      <c r="C36">
        <v>0.51069625999999901</v>
      </c>
      <c r="D36">
        <f t="shared" si="0"/>
        <v>0.50723373999999932</v>
      </c>
      <c r="E36">
        <f t="shared" si="1"/>
        <v>0.6276615308333332</v>
      </c>
      <c r="F36">
        <f>Tabla1[[#This Row],[Cost]]-Tabla1[[#This Row],[Tendencia]]</f>
        <v>-0.11696527083333419</v>
      </c>
      <c r="G36">
        <f>MONTH(Tabla1[[#This Row],[fecha]])</f>
        <v>5</v>
      </c>
      <c r="H36">
        <f ca="1">_xlfn.XLOOKUP(Tabla1[[#This Row],[Mes]],$L$2:$L$13,$M$2:$M$13)</f>
        <v>-0.1367608961458332</v>
      </c>
      <c r="I36" s="2">
        <f ca="1">Tabla1[[#This Row],[Cost]]-Tabla1[[#This Row],[Tendencia]]-Tabla1[[#This Row],[Estacionalidad]]</f>
        <v>1.979562531249901E-2</v>
      </c>
    </row>
    <row r="37" spans="1:9" x14ac:dyDescent="0.25">
      <c r="A37" t="s">
        <v>38</v>
      </c>
      <c r="B37" s="1">
        <v>34486</v>
      </c>
      <c r="C37">
        <v>0.54051378999999999</v>
      </c>
      <c r="D37">
        <f t="shared" si="0"/>
        <v>0.53644298999999973</v>
      </c>
      <c r="E37">
        <f t="shared" si="1"/>
        <v>0.62420910138888885</v>
      </c>
      <c r="F37">
        <f>Tabla1[[#This Row],[Cost]]-Tabla1[[#This Row],[Tendencia]]</f>
        <v>-8.369531138888886E-2</v>
      </c>
      <c r="G37">
        <f>MONTH(Tabla1[[#This Row],[fecha]])</f>
        <v>6</v>
      </c>
      <c r="H37">
        <f ca="1">_xlfn.XLOOKUP(Tabla1[[#This Row],[Mes]],$L$2:$L$13,$M$2:$M$13)</f>
        <v>-9.9133701041666328E-2</v>
      </c>
      <c r="I37" s="2">
        <f ca="1">Tabla1[[#This Row],[Cost]]-Tabla1[[#This Row],[Tendencia]]-Tabla1[[#This Row],[Estacionalidad]]</f>
        <v>1.5438389652777468E-2</v>
      </c>
    </row>
    <row r="38" spans="1:9" x14ac:dyDescent="0.25">
      <c r="A38" t="s">
        <v>39</v>
      </c>
      <c r="B38" s="1">
        <v>34516</v>
      </c>
      <c r="C38">
        <v>0.55811891999999996</v>
      </c>
      <c r="D38">
        <f t="shared" si="0"/>
        <v>0.59049492333333331</v>
      </c>
      <c r="E38">
        <f t="shared" si="1"/>
        <v>0.62064251222222211</v>
      </c>
      <c r="F38">
        <f>Tabla1[[#This Row],[Cost]]-Tabla1[[#This Row],[Tendencia]]</f>
        <v>-6.2523592222222146E-2</v>
      </c>
      <c r="G38">
        <f>MONTH(Tabla1[[#This Row],[fecha]])</f>
        <v>7</v>
      </c>
      <c r="H38">
        <f ca="1">_xlfn.XLOOKUP(Tabla1[[#This Row],[Mes]],$L$2:$L$13,$M$2:$M$13)</f>
        <v>-1.1486355624999913E-2</v>
      </c>
      <c r="I38" s="2">
        <f ca="1">Tabla1[[#This Row],[Cost]]-Tabla1[[#This Row],[Tendencia]]-Tabla1[[#This Row],[Estacionalidad]]</f>
        <v>-5.103723659722223E-2</v>
      </c>
    </row>
    <row r="39" spans="1:9" x14ac:dyDescent="0.25">
      <c r="A39" t="s">
        <v>40</v>
      </c>
      <c r="B39" s="1">
        <v>34547</v>
      </c>
      <c r="C39">
        <v>0.67285205999999997</v>
      </c>
      <c r="D39">
        <f t="shared" si="0"/>
        <v>0.63895612000000002</v>
      </c>
      <c r="E39">
        <f t="shared" si="1"/>
        <v>0.62252658722222209</v>
      </c>
      <c r="F39">
        <f>Tabla1[[#This Row],[Cost]]-Tabla1[[#This Row],[Tendencia]]</f>
        <v>5.032547277777788E-2</v>
      </c>
      <c r="G39">
        <f>MONTH(Tabla1[[#This Row],[fecha]])</f>
        <v>8</v>
      </c>
      <c r="H39">
        <f ca="1">_xlfn.XLOOKUP(Tabla1[[#This Row],[Mes]],$L$2:$L$13,$M$2:$M$13)</f>
        <v>3.9656656666666922E-2</v>
      </c>
      <c r="I39" s="2">
        <f ca="1">Tabla1[[#This Row],[Cost]]-Tabla1[[#This Row],[Tendencia]]-Tabla1[[#This Row],[Estacionalidad]]</f>
        <v>1.0668816111110958E-2</v>
      </c>
    </row>
    <row r="40" spans="1:9" x14ac:dyDescent="0.25">
      <c r="A40" t="s">
        <v>41</v>
      </c>
      <c r="B40" s="1">
        <v>34578</v>
      </c>
      <c r="C40">
        <v>0.68589738</v>
      </c>
      <c r="D40">
        <f t="shared" si="0"/>
        <v>0.68281380666666669</v>
      </c>
      <c r="E40">
        <f t="shared" si="1"/>
        <v>0.62643370166666645</v>
      </c>
      <c r="F40">
        <f>Tabla1[[#This Row],[Cost]]-Tabla1[[#This Row],[Tendencia]]</f>
        <v>5.9463678333333547E-2</v>
      </c>
      <c r="G40">
        <f>MONTH(Tabla1[[#This Row],[fecha]])</f>
        <v>9</v>
      </c>
      <c r="H40">
        <f ca="1">_xlfn.XLOOKUP(Tabla1[[#This Row],[Mes]],$L$2:$L$13,$M$2:$M$13)</f>
        <v>8.483285409722191E-2</v>
      </c>
      <c r="I40" s="2">
        <f ca="1">Tabla1[[#This Row],[Cost]]-Tabla1[[#This Row],[Tendencia]]-Tabla1[[#This Row],[Estacionalidad]]</f>
        <v>-2.5369175763888363E-2</v>
      </c>
    </row>
    <row r="41" spans="1:9" x14ac:dyDescent="0.25">
      <c r="A41" t="s">
        <v>42</v>
      </c>
      <c r="B41" s="1">
        <v>34608</v>
      </c>
      <c r="C41">
        <v>0.68969197999999998</v>
      </c>
      <c r="D41">
        <f t="shared" si="0"/>
        <v>0.70563098000000002</v>
      </c>
      <c r="E41">
        <f t="shared" si="1"/>
        <v>0.63070095833333317</v>
      </c>
      <c r="F41">
        <f>Tabla1[[#This Row],[Cost]]-Tabla1[[#This Row],[Tendencia]]</f>
        <v>5.899102166666681E-2</v>
      </c>
      <c r="G41">
        <f>MONTH(Tabla1[[#This Row],[fecha]])</f>
        <v>10</v>
      </c>
      <c r="H41">
        <f ca="1">_xlfn.XLOOKUP(Tabla1[[#This Row],[Mes]],$L$2:$L$13,$M$2:$M$13)</f>
        <v>0.13080354874999911</v>
      </c>
      <c r="I41" s="2">
        <f ca="1">Tabla1[[#This Row],[Cost]]-Tabla1[[#This Row],[Tendencia]]-Tabla1[[#This Row],[Estacionalidad]]</f>
        <v>-7.18125270833323E-2</v>
      </c>
    </row>
    <row r="42" spans="1:9" x14ac:dyDescent="0.25">
      <c r="A42" t="s">
        <v>43</v>
      </c>
      <c r="B42" s="1">
        <v>34639</v>
      </c>
      <c r="C42">
        <v>0.74130357999999996</v>
      </c>
      <c r="D42">
        <f t="shared" si="0"/>
        <v>0.74810106333333337</v>
      </c>
      <c r="E42">
        <f t="shared" si="1"/>
        <v>0.63502412666666641</v>
      </c>
      <c r="F42">
        <f>Tabla1[[#This Row],[Cost]]-Tabla1[[#This Row],[Tendencia]]</f>
        <v>0.10627945333333355</v>
      </c>
      <c r="G42">
        <f>MONTH(Tabla1[[#This Row],[fecha]])</f>
        <v>11</v>
      </c>
      <c r="H42">
        <f ca="1">_xlfn.XLOOKUP(Tabla1[[#This Row],[Mes]],$L$2:$L$13,$M$2:$M$13)</f>
        <v>0.14577509868055594</v>
      </c>
      <c r="I42" s="2">
        <f ca="1">Tabla1[[#This Row],[Cost]]-Tabla1[[#This Row],[Tendencia]]-Tabla1[[#This Row],[Estacionalidad]]</f>
        <v>-3.9495645347222386E-2</v>
      </c>
    </row>
    <row r="43" spans="1:9" x14ac:dyDescent="0.25">
      <c r="A43" t="s">
        <v>44</v>
      </c>
      <c r="B43" s="1">
        <v>34669</v>
      </c>
      <c r="C43">
        <v>0.81330762999999995</v>
      </c>
      <c r="D43">
        <f t="shared" si="0"/>
        <v>0.78590792666666676</v>
      </c>
      <c r="E43">
        <f t="shared" si="1"/>
        <v>0.63958057416666647</v>
      </c>
      <c r="F43">
        <f>Tabla1[[#This Row],[Cost]]-Tabla1[[#This Row],[Tendencia]]</f>
        <v>0.17372705583333348</v>
      </c>
      <c r="G43">
        <f>MONTH(Tabla1[[#This Row],[fecha]])</f>
        <v>12</v>
      </c>
      <c r="H43">
        <f ca="1">_xlfn.XLOOKUP(Tabla1[[#This Row],[Mes]],$L$2:$L$13,$M$2:$M$13)</f>
        <v>0.24521978491319479</v>
      </c>
      <c r="I43" s="2">
        <f ca="1">Tabla1[[#This Row],[Cost]]-Tabla1[[#This Row],[Tendencia]]-Tabla1[[#This Row],[Estacionalidad]]</f>
        <v>-7.1492729079861317E-2</v>
      </c>
    </row>
    <row r="44" spans="1:9" x14ac:dyDescent="0.25">
      <c r="A44" t="s">
        <v>45</v>
      </c>
      <c r="B44" s="1">
        <v>34700</v>
      </c>
      <c r="C44">
        <v>0.80311257000000003</v>
      </c>
      <c r="D44">
        <f t="shared" si="0"/>
        <v>0.6972261466666666</v>
      </c>
      <c r="E44">
        <f t="shared" si="1"/>
        <v>0.6446212330555553</v>
      </c>
      <c r="F44">
        <f>Tabla1[[#This Row],[Cost]]-Tabla1[[#This Row],[Tendencia]]</f>
        <v>0.15849133694444473</v>
      </c>
      <c r="G44">
        <f>MONTH(Tabla1[[#This Row],[fecha]])</f>
        <v>1</v>
      </c>
      <c r="H44">
        <f ca="1">_xlfn.XLOOKUP(Tabla1[[#This Row],[Mes]],$L$2:$L$13,$M$2:$M$13)</f>
        <v>0.21042451446180468</v>
      </c>
      <c r="I44" s="2">
        <f ca="1">Tabla1[[#This Row],[Cost]]-Tabla1[[#This Row],[Tendencia]]-Tabla1[[#This Row],[Estacionalidad]]</f>
        <v>-5.1933177517359957E-2</v>
      </c>
    </row>
    <row r="45" spans="1:9" x14ac:dyDescent="0.25">
      <c r="A45" t="s">
        <v>46</v>
      </c>
      <c r="B45" s="1">
        <v>34731</v>
      </c>
      <c r="C45">
        <v>0.47525824</v>
      </c>
      <c r="D45">
        <f t="shared" si="0"/>
        <v>0.61031436999999966</v>
      </c>
      <c r="E45">
        <f t="shared" si="1"/>
        <v>0.64941218444444415</v>
      </c>
      <c r="F45">
        <f>Tabla1[[#This Row],[Cost]]-Tabla1[[#This Row],[Tendencia]]</f>
        <v>-0.17415394444444415</v>
      </c>
      <c r="G45">
        <f>MONTH(Tabla1[[#This Row],[fecha]])</f>
        <v>2</v>
      </c>
      <c r="H45">
        <f ca="1">_xlfn.XLOOKUP(Tabla1[[#This Row],[Mes]],$L$2:$L$13,$M$2:$M$13)</f>
        <v>-0.24179140911458308</v>
      </c>
      <c r="I45" s="2">
        <f ca="1">Tabla1[[#This Row],[Cost]]-Tabla1[[#This Row],[Tendencia]]-Tabla1[[#This Row],[Estacionalidad]]</f>
        <v>6.7637464670138925E-2</v>
      </c>
    </row>
    <row r="46" spans="1:9" x14ac:dyDescent="0.25">
      <c r="A46" t="s">
        <v>47</v>
      </c>
      <c r="B46" s="1">
        <v>34759</v>
      </c>
      <c r="C46">
        <v>0.55257229999999902</v>
      </c>
      <c r="D46">
        <f t="shared" si="0"/>
        <v>0.51831278666666603</v>
      </c>
      <c r="E46">
        <f t="shared" si="1"/>
        <v>0.65590025638888871</v>
      </c>
      <c r="F46">
        <f>Tabla1[[#This Row],[Cost]]-Tabla1[[#This Row],[Tendencia]]</f>
        <v>-0.1033279563888897</v>
      </c>
      <c r="G46">
        <f>MONTH(Tabla1[[#This Row],[fecha]])</f>
        <v>3</v>
      </c>
      <c r="H46">
        <f ca="1">_xlfn.XLOOKUP(Tabla1[[#This Row],[Mes]],$L$2:$L$13,$M$2:$M$13)</f>
        <v>-0.17478011918402764</v>
      </c>
      <c r="I46" s="2">
        <f ca="1">Tabla1[[#This Row],[Cost]]-Tabla1[[#This Row],[Tendencia]]-Tabla1[[#This Row],[Estacionalidad]]</f>
        <v>7.1452162795137941E-2</v>
      </c>
    </row>
    <row r="47" spans="1:9" x14ac:dyDescent="0.25">
      <c r="A47" t="s">
        <v>48</v>
      </c>
      <c r="B47" s="1">
        <v>34790</v>
      </c>
      <c r="C47">
        <v>0.52710781999999901</v>
      </c>
      <c r="D47">
        <f t="shared" si="0"/>
        <v>0.54697664666666579</v>
      </c>
      <c r="E47">
        <f t="shared" si="1"/>
        <v>0.66251945944444424</v>
      </c>
      <c r="F47">
        <f>Tabla1[[#This Row],[Cost]]-Tabla1[[#This Row],[Tendencia]]</f>
        <v>-0.13541163944444523</v>
      </c>
      <c r="G47">
        <f>MONTH(Tabla1[[#This Row],[fecha]])</f>
        <v>4</v>
      </c>
      <c r="H47">
        <f ca="1">_xlfn.XLOOKUP(Tabla1[[#This Row],[Mes]],$L$2:$L$13,$M$2:$M$13)</f>
        <v>-0.19176819232638881</v>
      </c>
      <c r="I47" s="2">
        <f ca="1">Tabla1[[#This Row],[Cost]]-Tabla1[[#This Row],[Tendencia]]-Tabla1[[#This Row],[Estacionalidad]]</f>
        <v>5.6356552881943578E-2</v>
      </c>
    </row>
    <row r="48" spans="1:9" x14ac:dyDescent="0.25">
      <c r="A48" t="s">
        <v>49</v>
      </c>
      <c r="B48" s="1">
        <v>34820</v>
      </c>
      <c r="C48">
        <v>0.56124981999999901</v>
      </c>
      <c r="D48">
        <f t="shared" si="0"/>
        <v>0.5591117599999994</v>
      </c>
      <c r="E48">
        <f t="shared" si="1"/>
        <v>0.67119063583333316</v>
      </c>
      <c r="F48">
        <f>Tabla1[[#This Row],[Cost]]-Tabla1[[#This Row],[Tendencia]]</f>
        <v>-0.10994081583333415</v>
      </c>
      <c r="G48">
        <f>MONTH(Tabla1[[#This Row],[fecha]])</f>
        <v>5</v>
      </c>
      <c r="H48">
        <f ca="1">_xlfn.XLOOKUP(Tabla1[[#This Row],[Mes]],$L$2:$L$13,$M$2:$M$13)</f>
        <v>-0.1367608961458332</v>
      </c>
      <c r="I48" s="2">
        <f ca="1">Tabla1[[#This Row],[Cost]]-Tabla1[[#This Row],[Tendencia]]-Tabla1[[#This Row],[Estacionalidad]]</f>
        <v>2.6820080312499051E-2</v>
      </c>
    </row>
    <row r="49" spans="1:9" x14ac:dyDescent="0.25">
      <c r="A49" t="s">
        <v>50</v>
      </c>
      <c r="B49" s="1">
        <v>34851</v>
      </c>
      <c r="C49">
        <v>0.58897763999999997</v>
      </c>
      <c r="D49">
        <f t="shared" si="0"/>
        <v>0.59112035999999935</v>
      </c>
      <c r="E49">
        <f t="shared" si="1"/>
        <v>0.68008548805555524</v>
      </c>
      <c r="F49">
        <f>Tabla1[[#This Row],[Cost]]-Tabla1[[#This Row],[Tendencia]]</f>
        <v>-9.1107848055555274E-2</v>
      </c>
      <c r="G49">
        <f>MONTH(Tabla1[[#This Row],[fecha]])</f>
        <v>6</v>
      </c>
      <c r="H49">
        <f ca="1">_xlfn.XLOOKUP(Tabla1[[#This Row],[Mes]],$L$2:$L$13,$M$2:$M$13)</f>
        <v>-9.9133701041666328E-2</v>
      </c>
      <c r="I49" s="2">
        <f ca="1">Tabla1[[#This Row],[Cost]]-Tabla1[[#This Row],[Tendencia]]-Tabla1[[#This Row],[Estacionalidad]]</f>
        <v>8.0258529861110539E-3</v>
      </c>
    </row>
    <row r="50" spans="1:9" x14ac:dyDescent="0.25">
      <c r="A50" t="s">
        <v>51</v>
      </c>
      <c r="B50" s="1">
        <v>34881</v>
      </c>
      <c r="C50">
        <v>0.62313361999999906</v>
      </c>
      <c r="D50">
        <f t="shared" si="0"/>
        <v>0.65098282999999968</v>
      </c>
      <c r="E50">
        <f t="shared" si="1"/>
        <v>0.68844693805555535</v>
      </c>
      <c r="F50">
        <f>Tabla1[[#This Row],[Cost]]-Tabla1[[#This Row],[Tendencia]]</f>
        <v>-6.5313318055556291E-2</v>
      </c>
      <c r="G50">
        <f>MONTH(Tabla1[[#This Row],[fecha]])</f>
        <v>7</v>
      </c>
      <c r="H50">
        <f ca="1">_xlfn.XLOOKUP(Tabla1[[#This Row],[Mes]],$L$2:$L$13,$M$2:$M$13)</f>
        <v>-1.1486355624999913E-2</v>
      </c>
      <c r="I50" s="2">
        <f ca="1">Tabla1[[#This Row],[Cost]]-Tabla1[[#This Row],[Tendencia]]-Tabla1[[#This Row],[Estacionalidad]]</f>
        <v>-5.3826962430556374E-2</v>
      </c>
    </row>
    <row r="51" spans="1:9" x14ac:dyDescent="0.25">
      <c r="A51" t="s">
        <v>52</v>
      </c>
      <c r="B51" s="1">
        <v>34912</v>
      </c>
      <c r="C51">
        <v>0.74083723000000001</v>
      </c>
      <c r="D51">
        <f t="shared" si="0"/>
        <v>0.69644753666666637</v>
      </c>
      <c r="E51">
        <f t="shared" si="1"/>
        <v>0.69384789416666637</v>
      </c>
      <c r="F51">
        <f>Tabla1[[#This Row],[Cost]]-Tabla1[[#This Row],[Tendencia]]</f>
        <v>4.6989335833333645E-2</v>
      </c>
      <c r="G51">
        <f>MONTH(Tabla1[[#This Row],[fecha]])</f>
        <v>8</v>
      </c>
      <c r="H51">
        <f ca="1">_xlfn.XLOOKUP(Tabla1[[#This Row],[Mes]],$L$2:$L$13,$M$2:$M$13)</f>
        <v>3.9656656666666922E-2</v>
      </c>
      <c r="I51" s="2">
        <f ca="1">Tabla1[[#This Row],[Cost]]-Tabla1[[#This Row],[Tendencia]]-Tabla1[[#This Row],[Estacionalidad]]</f>
        <v>7.3326791666667238E-3</v>
      </c>
    </row>
    <row r="52" spans="1:9" x14ac:dyDescent="0.25">
      <c r="A52" t="s">
        <v>53</v>
      </c>
      <c r="B52" s="1">
        <v>34943</v>
      </c>
      <c r="C52">
        <v>0.72537176000000003</v>
      </c>
      <c r="D52">
        <f t="shared" si="0"/>
        <v>0.7606706700000001</v>
      </c>
      <c r="E52">
        <f t="shared" si="1"/>
        <v>0.69693219666666639</v>
      </c>
      <c r="F52">
        <f>Tabla1[[#This Row],[Cost]]-Tabla1[[#This Row],[Tendencia]]</f>
        <v>2.843956333333364E-2</v>
      </c>
      <c r="G52">
        <f>MONTH(Tabla1[[#This Row],[fecha]])</f>
        <v>9</v>
      </c>
      <c r="H52">
        <f ca="1">_xlfn.XLOOKUP(Tabla1[[#This Row],[Mes]],$L$2:$L$13,$M$2:$M$13)</f>
        <v>8.483285409722191E-2</v>
      </c>
      <c r="I52" s="2">
        <f ca="1">Tabla1[[#This Row],[Cost]]-Tabla1[[#This Row],[Tendencia]]-Tabla1[[#This Row],[Estacionalidad]]</f>
        <v>-5.6393290763888271E-2</v>
      </c>
    </row>
    <row r="53" spans="1:9" x14ac:dyDescent="0.25">
      <c r="A53" t="s">
        <v>54</v>
      </c>
      <c r="B53" s="1">
        <v>34973</v>
      </c>
      <c r="C53">
        <v>0.81580302000000005</v>
      </c>
      <c r="D53">
        <f t="shared" si="0"/>
        <v>0.78506141666666662</v>
      </c>
      <c r="E53">
        <f t="shared" si="1"/>
        <v>0.70002133749999984</v>
      </c>
      <c r="F53">
        <f>Tabla1[[#This Row],[Cost]]-Tabla1[[#This Row],[Tendencia]]</f>
        <v>0.1157816825000002</v>
      </c>
      <c r="G53">
        <f>MONTH(Tabla1[[#This Row],[fecha]])</f>
        <v>10</v>
      </c>
      <c r="H53">
        <f ca="1">_xlfn.XLOOKUP(Tabla1[[#This Row],[Mes]],$L$2:$L$13,$M$2:$M$13)</f>
        <v>0.13080354874999911</v>
      </c>
      <c r="I53" s="2">
        <f ca="1">Tabla1[[#This Row],[Cost]]-Tabla1[[#This Row],[Tendencia]]-Tabla1[[#This Row],[Estacionalidad]]</f>
        <v>-1.5021866249998905E-2</v>
      </c>
    </row>
    <row r="54" spans="1:9" x14ac:dyDescent="0.25">
      <c r="A54" t="s">
        <v>55</v>
      </c>
      <c r="B54" s="1">
        <v>35004</v>
      </c>
      <c r="C54">
        <v>0.81400947000000001</v>
      </c>
      <c r="D54">
        <f t="shared" si="0"/>
        <v>0.85215518000000001</v>
      </c>
      <c r="E54">
        <f t="shared" si="1"/>
        <v>0.70306724194444425</v>
      </c>
      <c r="F54">
        <f>Tabla1[[#This Row],[Cost]]-Tabla1[[#This Row],[Tendencia]]</f>
        <v>0.11094222805555576</v>
      </c>
      <c r="G54">
        <f>MONTH(Tabla1[[#This Row],[fecha]])</f>
        <v>11</v>
      </c>
      <c r="H54">
        <f ca="1">_xlfn.XLOOKUP(Tabla1[[#This Row],[Mes]],$L$2:$L$13,$M$2:$M$13)</f>
        <v>0.14577509868055594</v>
      </c>
      <c r="I54" s="2">
        <f ca="1">Tabla1[[#This Row],[Cost]]-Tabla1[[#This Row],[Tendencia]]-Tabla1[[#This Row],[Estacionalidad]]</f>
        <v>-3.4832870625000178E-2</v>
      </c>
    </row>
    <row r="55" spans="1:9" x14ac:dyDescent="0.25">
      <c r="A55" t="s">
        <v>56</v>
      </c>
      <c r="B55" s="1">
        <v>35034</v>
      </c>
      <c r="C55">
        <v>0.92665304999999998</v>
      </c>
      <c r="D55">
        <f t="shared" si="0"/>
        <v>0.8926461533333333</v>
      </c>
      <c r="E55">
        <f t="shared" si="1"/>
        <v>0.70705372916666664</v>
      </c>
      <c r="F55">
        <f>Tabla1[[#This Row],[Cost]]-Tabla1[[#This Row],[Tendencia]]</f>
        <v>0.21959932083333333</v>
      </c>
      <c r="G55">
        <f>MONTH(Tabla1[[#This Row],[fecha]])</f>
        <v>12</v>
      </c>
      <c r="H55">
        <f ca="1">_xlfn.XLOOKUP(Tabla1[[#This Row],[Mes]],$L$2:$L$13,$M$2:$M$13)</f>
        <v>0.24521978491319479</v>
      </c>
      <c r="I55" s="2">
        <f ca="1">Tabla1[[#This Row],[Cost]]-Tabla1[[#This Row],[Tendencia]]-Tabla1[[#This Row],[Estacionalidad]]</f>
        <v>-2.562046407986146E-2</v>
      </c>
    </row>
    <row r="56" spans="1:9" x14ac:dyDescent="0.25">
      <c r="A56" t="s">
        <v>57</v>
      </c>
      <c r="B56" s="1">
        <v>35065</v>
      </c>
      <c r="C56">
        <v>0.93727594000000003</v>
      </c>
      <c r="D56">
        <f t="shared" si="0"/>
        <v>0.79756354666666673</v>
      </c>
      <c r="E56">
        <f t="shared" si="1"/>
        <v>0.70895652555555533</v>
      </c>
      <c r="F56">
        <f>Tabla1[[#This Row],[Cost]]-Tabla1[[#This Row],[Tendencia]]</f>
        <v>0.2283194144444447</v>
      </c>
      <c r="G56">
        <f>MONTH(Tabla1[[#This Row],[fecha]])</f>
        <v>1</v>
      </c>
      <c r="H56">
        <f ca="1">_xlfn.XLOOKUP(Tabla1[[#This Row],[Mes]],$L$2:$L$13,$M$2:$M$13)</f>
        <v>0.21042451446180468</v>
      </c>
      <c r="I56" s="2">
        <f ca="1">Tabla1[[#This Row],[Cost]]-Tabla1[[#This Row],[Tendencia]]-Tabla1[[#This Row],[Estacionalidad]]</f>
        <v>1.7894899982640017E-2</v>
      </c>
    </row>
    <row r="57" spans="1:9" x14ac:dyDescent="0.25">
      <c r="A57" t="s">
        <v>58</v>
      </c>
      <c r="B57" s="1">
        <v>35096</v>
      </c>
      <c r="C57">
        <v>0.52876164999999997</v>
      </c>
      <c r="D57">
        <f t="shared" si="0"/>
        <v>0.67512584333333336</v>
      </c>
      <c r="E57">
        <f t="shared" si="1"/>
        <v>0.71124101083333324</v>
      </c>
      <c r="F57">
        <f>Tabla1[[#This Row],[Cost]]-Tabla1[[#This Row],[Tendencia]]</f>
        <v>-0.18247936083333327</v>
      </c>
      <c r="G57">
        <f>MONTH(Tabla1[[#This Row],[fecha]])</f>
        <v>2</v>
      </c>
      <c r="H57">
        <f ca="1">_xlfn.XLOOKUP(Tabla1[[#This Row],[Mes]],$L$2:$L$13,$M$2:$M$13)</f>
        <v>-0.24179140911458308</v>
      </c>
      <c r="I57" s="2">
        <f ca="1">Tabla1[[#This Row],[Cost]]-Tabla1[[#This Row],[Tendencia]]-Tabla1[[#This Row],[Estacionalidad]]</f>
        <v>5.9312048281249807E-2</v>
      </c>
    </row>
    <row r="58" spans="1:9" x14ac:dyDescent="0.25">
      <c r="A58" t="s">
        <v>59</v>
      </c>
      <c r="B58" s="1">
        <v>35125</v>
      </c>
      <c r="C58">
        <v>0.55933993999999998</v>
      </c>
      <c r="D58">
        <f t="shared" si="0"/>
        <v>0.55532441666666632</v>
      </c>
      <c r="E58">
        <f t="shared" si="1"/>
        <v>0.71087069805555547</v>
      </c>
      <c r="F58">
        <f>Tabla1[[#This Row],[Cost]]-Tabla1[[#This Row],[Tendencia]]</f>
        <v>-0.15153075805555549</v>
      </c>
      <c r="G58">
        <f>MONTH(Tabla1[[#This Row],[fecha]])</f>
        <v>3</v>
      </c>
      <c r="H58">
        <f ca="1">_xlfn.XLOOKUP(Tabla1[[#This Row],[Mes]],$L$2:$L$13,$M$2:$M$13)</f>
        <v>-0.17478011918402764</v>
      </c>
      <c r="I58" s="2">
        <f ca="1">Tabla1[[#This Row],[Cost]]-Tabla1[[#This Row],[Tendencia]]-Tabla1[[#This Row],[Estacionalidad]]</f>
        <v>2.3249361128472146E-2</v>
      </c>
    </row>
    <row r="59" spans="1:9" x14ac:dyDescent="0.25">
      <c r="A59" t="s">
        <v>60</v>
      </c>
      <c r="B59" s="1">
        <v>35156</v>
      </c>
      <c r="C59">
        <v>0.57787165999999901</v>
      </c>
      <c r="D59">
        <f t="shared" si="0"/>
        <v>0.58404633666666628</v>
      </c>
      <c r="E59">
        <f t="shared" si="1"/>
        <v>0.71038561194444438</v>
      </c>
      <c r="F59">
        <f>Tabla1[[#This Row],[Cost]]-Tabla1[[#This Row],[Tendencia]]</f>
        <v>-0.13251395194444537</v>
      </c>
      <c r="G59">
        <f>MONTH(Tabla1[[#This Row],[fecha]])</f>
        <v>4</v>
      </c>
      <c r="H59">
        <f ca="1">_xlfn.XLOOKUP(Tabla1[[#This Row],[Mes]],$L$2:$L$13,$M$2:$M$13)</f>
        <v>-0.19176819232638881</v>
      </c>
      <c r="I59" s="2">
        <f ca="1">Tabla1[[#This Row],[Cost]]-Tabla1[[#This Row],[Tendencia]]-Tabla1[[#This Row],[Estacionalidad]]</f>
        <v>5.9254240381943435E-2</v>
      </c>
    </row>
    <row r="60" spans="1:9" x14ac:dyDescent="0.25">
      <c r="A60" t="s">
        <v>61</v>
      </c>
      <c r="B60" s="1">
        <v>35186</v>
      </c>
      <c r="C60">
        <v>0.61492740999999995</v>
      </c>
      <c r="D60">
        <f t="shared" si="0"/>
        <v>0.59566261333333304</v>
      </c>
      <c r="E60">
        <f t="shared" si="1"/>
        <v>0.71060842638888877</v>
      </c>
      <c r="F60">
        <f>Tabla1[[#This Row],[Cost]]-Tabla1[[#This Row],[Tendencia]]</f>
        <v>-9.5681016388888818E-2</v>
      </c>
      <c r="G60">
        <f>MONTH(Tabla1[[#This Row],[fecha]])</f>
        <v>5</v>
      </c>
      <c r="H60">
        <f ca="1">_xlfn.XLOOKUP(Tabla1[[#This Row],[Mes]],$L$2:$L$13,$M$2:$M$13)</f>
        <v>-0.1367608961458332</v>
      </c>
      <c r="I60" s="2">
        <f ca="1">Tabla1[[#This Row],[Cost]]-Tabla1[[#This Row],[Tendencia]]-Tabla1[[#This Row],[Estacionalidad]]</f>
        <v>4.1079879756944382E-2</v>
      </c>
    </row>
    <row r="61" spans="1:9" x14ac:dyDescent="0.25">
      <c r="A61" t="s">
        <v>62</v>
      </c>
      <c r="B61" s="1">
        <v>35217</v>
      </c>
      <c r="C61">
        <v>0.59418877000000003</v>
      </c>
      <c r="D61">
        <f t="shared" si="0"/>
        <v>0.63895820666666669</v>
      </c>
      <c r="E61">
        <f t="shared" si="1"/>
        <v>0.70862306055555557</v>
      </c>
      <c r="F61">
        <f>Tabla1[[#This Row],[Cost]]-Tabla1[[#This Row],[Tendencia]]</f>
        <v>-0.11443429055555554</v>
      </c>
      <c r="G61">
        <f>MONTH(Tabla1[[#This Row],[fecha]])</f>
        <v>6</v>
      </c>
      <c r="H61">
        <f ca="1">_xlfn.XLOOKUP(Tabla1[[#This Row],[Mes]],$L$2:$L$13,$M$2:$M$13)</f>
        <v>-9.9133701041666328E-2</v>
      </c>
      <c r="I61" s="2">
        <f ca="1">Tabla1[[#This Row],[Cost]]-Tabla1[[#This Row],[Tendencia]]-Tabla1[[#This Row],[Estacionalidad]]</f>
        <v>-1.5300589513889212E-2</v>
      </c>
    </row>
    <row r="62" spans="1:9" x14ac:dyDescent="0.25">
      <c r="A62" t="s">
        <v>63</v>
      </c>
      <c r="B62" s="1">
        <v>35247</v>
      </c>
      <c r="C62">
        <v>0.70775843999999999</v>
      </c>
      <c r="D62">
        <f t="shared" si="0"/>
        <v>0.67381638666666666</v>
      </c>
      <c r="E62">
        <f t="shared" si="1"/>
        <v>0.7055412499999999</v>
      </c>
      <c r="F62">
        <f>Tabla1[[#This Row],[Cost]]-Tabla1[[#This Row],[Tendencia]]</f>
        <v>2.217190000000091E-3</v>
      </c>
      <c r="G62">
        <f>MONTH(Tabla1[[#This Row],[fecha]])</f>
        <v>7</v>
      </c>
      <c r="H62">
        <f ca="1">_xlfn.XLOOKUP(Tabla1[[#This Row],[Mes]],$L$2:$L$13,$M$2:$M$13)</f>
        <v>-1.1486355624999913E-2</v>
      </c>
      <c r="I62" s="2">
        <f ca="1">Tabla1[[#This Row],[Cost]]-Tabla1[[#This Row],[Tendencia]]-Tabla1[[#This Row],[Estacionalidad]]</f>
        <v>1.3703545625000004E-2</v>
      </c>
    </row>
    <row r="63" spans="1:9" x14ac:dyDescent="0.25">
      <c r="A63" t="s">
        <v>64</v>
      </c>
      <c r="B63" s="1">
        <v>35278</v>
      </c>
      <c r="C63">
        <v>0.71950194999999995</v>
      </c>
      <c r="D63">
        <f t="shared" si="0"/>
        <v>0.7238613599999999</v>
      </c>
      <c r="E63">
        <f t="shared" si="1"/>
        <v>0.69916768611111102</v>
      </c>
      <c r="F63">
        <f>Tabla1[[#This Row],[Cost]]-Tabla1[[#This Row],[Tendencia]]</f>
        <v>2.0334263888888926E-2</v>
      </c>
      <c r="G63">
        <f>MONTH(Tabla1[[#This Row],[fecha]])</f>
        <v>8</v>
      </c>
      <c r="H63">
        <f ca="1">_xlfn.XLOOKUP(Tabla1[[#This Row],[Mes]],$L$2:$L$13,$M$2:$M$13)</f>
        <v>3.9656656666666922E-2</v>
      </c>
      <c r="I63" s="2">
        <f ca="1">Tabla1[[#This Row],[Cost]]-Tabla1[[#This Row],[Tendencia]]-Tabla1[[#This Row],[Estacionalidad]]</f>
        <v>-1.9322392777777996E-2</v>
      </c>
    </row>
    <row r="64" spans="1:9" x14ac:dyDescent="0.25">
      <c r="A64" t="s">
        <v>65</v>
      </c>
      <c r="B64" s="1">
        <v>35309</v>
      </c>
      <c r="C64">
        <v>0.74432368999999998</v>
      </c>
      <c r="D64">
        <f t="shared" si="0"/>
        <v>0.75622691666666675</v>
      </c>
      <c r="E64">
        <f t="shared" si="1"/>
        <v>0.6939227149999998</v>
      </c>
      <c r="F64">
        <f>Tabla1[[#This Row],[Cost]]-Tabla1[[#This Row],[Tendencia]]</f>
        <v>5.0400975000000181E-2</v>
      </c>
      <c r="G64">
        <f>MONTH(Tabla1[[#This Row],[fecha]])</f>
        <v>9</v>
      </c>
      <c r="H64">
        <f ca="1">_xlfn.XLOOKUP(Tabla1[[#This Row],[Mes]],$L$2:$L$13,$M$2:$M$13)</f>
        <v>8.483285409722191E-2</v>
      </c>
      <c r="I64" s="2">
        <f ca="1">Tabla1[[#This Row],[Cost]]-Tabla1[[#This Row],[Tendencia]]-Tabla1[[#This Row],[Estacionalidad]]</f>
        <v>-3.4431879097221729E-2</v>
      </c>
    </row>
    <row r="65" spans="1:9" x14ac:dyDescent="0.25">
      <c r="A65" t="s">
        <v>66</v>
      </c>
      <c r="B65" s="1">
        <v>35339</v>
      </c>
      <c r="C65">
        <v>0.80485510999999998</v>
      </c>
      <c r="D65">
        <f t="shared" si="0"/>
        <v>0.77924038333333334</v>
      </c>
      <c r="E65">
        <f t="shared" si="1"/>
        <v>0.68902074916666656</v>
      </c>
      <c r="F65">
        <f>Tabla1[[#This Row],[Cost]]-Tabla1[[#This Row],[Tendencia]]</f>
        <v>0.11583436083333343</v>
      </c>
      <c r="G65">
        <f>MONTH(Tabla1[[#This Row],[fecha]])</f>
        <v>10</v>
      </c>
      <c r="H65">
        <f ca="1">_xlfn.XLOOKUP(Tabla1[[#This Row],[Mes]],$L$2:$L$13,$M$2:$M$13)</f>
        <v>0.13080354874999911</v>
      </c>
      <c r="I65" s="2">
        <f ca="1">Tabla1[[#This Row],[Cost]]-Tabla1[[#This Row],[Tendencia]]-Tabla1[[#This Row],[Estacionalidad]]</f>
        <v>-1.4969187916665683E-2</v>
      </c>
    </row>
    <row r="66" spans="1:9" x14ac:dyDescent="0.25">
      <c r="A66" t="s">
        <v>67</v>
      </c>
      <c r="B66" s="1">
        <v>35370</v>
      </c>
      <c r="C66">
        <v>0.78854234999999995</v>
      </c>
      <c r="D66">
        <f t="shared" ref="D66:D129" si="2">AVERAGE(C65:C67)</f>
        <v>0.8548289533333332</v>
      </c>
      <c r="E66">
        <f t="shared" si="1"/>
        <v>0.68602012777777766</v>
      </c>
      <c r="F66">
        <f>Tabla1[[#This Row],[Cost]]-Tabla1[[#This Row],[Tendencia]]</f>
        <v>0.10252222222222229</v>
      </c>
      <c r="G66">
        <f>MONTH(Tabla1[[#This Row],[fecha]])</f>
        <v>11</v>
      </c>
      <c r="H66">
        <f ca="1">_xlfn.XLOOKUP(Tabla1[[#This Row],[Mes]],$L$2:$L$13,$M$2:$M$13)</f>
        <v>0.14577509868055594</v>
      </c>
      <c r="I66" s="2">
        <f ca="1">Tabla1[[#This Row],[Cost]]-Tabla1[[#This Row],[Tendencia]]-Tabla1[[#This Row],[Estacionalidad]]</f>
        <v>-4.3252876458333644E-2</v>
      </c>
    </row>
    <row r="67" spans="1:9" x14ac:dyDescent="0.25">
      <c r="A67" t="s">
        <v>68</v>
      </c>
      <c r="B67" s="1">
        <v>35400</v>
      </c>
      <c r="C67">
        <v>0.97108939999999999</v>
      </c>
      <c r="D67">
        <f t="shared" si="2"/>
        <v>0.86882176333333339</v>
      </c>
      <c r="E67">
        <f t="shared" si="1"/>
        <v>0.68333992249999975</v>
      </c>
      <c r="F67">
        <f>Tabla1[[#This Row],[Cost]]-Tabla1[[#This Row],[Tendencia]]</f>
        <v>0.28774947750000024</v>
      </c>
      <c r="G67">
        <f>MONTH(Tabla1[[#This Row],[fecha]])</f>
        <v>12</v>
      </c>
      <c r="H67">
        <f ca="1">_xlfn.XLOOKUP(Tabla1[[#This Row],[Mes]],$L$2:$L$13,$M$2:$M$13)</f>
        <v>0.24521978491319479</v>
      </c>
      <c r="I67" s="2">
        <f ca="1">Tabla1[[#This Row],[Cost]]-Tabla1[[#This Row],[Tendencia]]-Tabla1[[#This Row],[Estacionalidad]]</f>
        <v>4.2529692586805445E-2</v>
      </c>
    </row>
    <row r="68" spans="1:9" x14ac:dyDescent="0.25">
      <c r="A68" t="s">
        <v>69</v>
      </c>
      <c r="B68" s="1">
        <v>35431</v>
      </c>
      <c r="C68">
        <v>0.84683354</v>
      </c>
      <c r="D68">
        <f t="shared" si="2"/>
        <v>0.76058181999999963</v>
      </c>
      <c r="E68">
        <f t="shared" si="1"/>
        <v>0.68096756833333316</v>
      </c>
      <c r="F68">
        <f>Tabla1[[#This Row],[Cost]]-Tabla1[[#This Row],[Tendencia]]</f>
        <v>0.16586597166666683</v>
      </c>
      <c r="G68">
        <f>MONTH(Tabla1[[#This Row],[fecha]])</f>
        <v>1</v>
      </c>
      <c r="H68">
        <f ca="1">_xlfn.XLOOKUP(Tabla1[[#This Row],[Mes]],$L$2:$L$13,$M$2:$M$13)</f>
        <v>0.21042451446180468</v>
      </c>
      <c r="I68" s="2">
        <f ca="1">Tabla1[[#This Row],[Cost]]-Tabla1[[#This Row],[Tendencia]]-Tabla1[[#This Row],[Estacionalidad]]</f>
        <v>-4.4558542795137851E-2</v>
      </c>
    </row>
    <row r="69" spans="1:9" x14ac:dyDescent="0.25">
      <c r="A69" t="s">
        <v>70</v>
      </c>
      <c r="B69" s="1">
        <v>35462</v>
      </c>
      <c r="C69">
        <v>0.46382251999999902</v>
      </c>
      <c r="D69">
        <f t="shared" si="2"/>
        <v>0.59864307666666627</v>
      </c>
      <c r="E69">
        <f t="shared" si="1"/>
        <v>0.67926994111111094</v>
      </c>
      <c r="F69">
        <f>Tabla1[[#This Row],[Cost]]-Tabla1[[#This Row],[Tendencia]]</f>
        <v>-0.21544742111111193</v>
      </c>
      <c r="G69">
        <f>MONTH(Tabla1[[#This Row],[fecha]])</f>
        <v>2</v>
      </c>
      <c r="H69">
        <f ca="1">_xlfn.XLOOKUP(Tabla1[[#This Row],[Mes]],$L$2:$L$13,$M$2:$M$13)</f>
        <v>-0.24179140911458308</v>
      </c>
      <c r="I69" s="2">
        <f ca="1">Tabla1[[#This Row],[Cost]]-Tabla1[[#This Row],[Tendencia]]-Tabla1[[#This Row],[Estacionalidad]]</f>
        <v>2.6343988003471153E-2</v>
      </c>
    </row>
    <row r="70" spans="1:9" x14ac:dyDescent="0.25">
      <c r="A70" t="s">
        <v>71</v>
      </c>
      <c r="B70" s="1">
        <v>35490</v>
      </c>
      <c r="C70">
        <v>0.48527316999999998</v>
      </c>
      <c r="D70">
        <f t="shared" si="2"/>
        <v>0.49238476333333264</v>
      </c>
      <c r="E70">
        <f t="shared" si="1"/>
        <v>0.67849305583333319</v>
      </c>
      <c r="F70">
        <f>Tabla1[[#This Row],[Cost]]-Tabla1[[#This Row],[Tendencia]]</f>
        <v>-0.19321988583333322</v>
      </c>
      <c r="G70">
        <f>MONTH(Tabla1[[#This Row],[fecha]])</f>
        <v>3</v>
      </c>
      <c r="H70">
        <f ca="1">_xlfn.XLOOKUP(Tabla1[[#This Row],[Mes]],$L$2:$L$13,$M$2:$M$13)</f>
        <v>-0.17478011918402764</v>
      </c>
      <c r="I70" s="2">
        <f ca="1">Tabla1[[#This Row],[Cost]]-Tabla1[[#This Row],[Tendencia]]-Tabla1[[#This Row],[Estacionalidad]]</f>
        <v>-1.8439766649305578E-2</v>
      </c>
    </row>
    <row r="71" spans="1:9" x14ac:dyDescent="0.25">
      <c r="A71" t="s">
        <v>72</v>
      </c>
      <c r="B71" s="1">
        <v>35521</v>
      </c>
      <c r="C71">
        <v>0.52805859999999905</v>
      </c>
      <c r="D71">
        <f t="shared" si="2"/>
        <v>0.52522274666666635</v>
      </c>
      <c r="E71">
        <f t="shared" si="1"/>
        <v>0.67836861138888871</v>
      </c>
      <c r="F71">
        <f>Tabla1[[#This Row],[Cost]]-Tabla1[[#This Row],[Tendencia]]</f>
        <v>-0.15031001138888966</v>
      </c>
      <c r="G71">
        <f>MONTH(Tabla1[[#This Row],[fecha]])</f>
        <v>4</v>
      </c>
      <c r="H71">
        <f ca="1">_xlfn.XLOOKUP(Tabla1[[#This Row],[Mes]],$L$2:$L$13,$M$2:$M$13)</f>
        <v>-0.19176819232638881</v>
      </c>
      <c r="I71" s="2">
        <f ca="1">Tabla1[[#This Row],[Cost]]-Tabla1[[#This Row],[Tendencia]]-Tabla1[[#This Row],[Estacionalidad]]</f>
        <v>4.1458180937499145E-2</v>
      </c>
    </row>
    <row r="72" spans="1:9" x14ac:dyDescent="0.25">
      <c r="A72" t="s">
        <v>73</v>
      </c>
      <c r="B72" s="1">
        <v>35551</v>
      </c>
      <c r="C72">
        <v>0.56233646999999998</v>
      </c>
      <c r="D72">
        <f t="shared" si="2"/>
        <v>0.55965515666666643</v>
      </c>
      <c r="E72">
        <f t="shared" si="1"/>
        <v>0.67837272638888868</v>
      </c>
      <c r="F72">
        <f>Tabla1[[#This Row],[Cost]]-Tabla1[[#This Row],[Tendencia]]</f>
        <v>-0.1160362563888887</v>
      </c>
      <c r="G72">
        <f>MONTH(Tabla1[[#This Row],[fecha]])</f>
        <v>5</v>
      </c>
      <c r="H72">
        <f ca="1">_xlfn.XLOOKUP(Tabla1[[#This Row],[Mes]],$L$2:$L$13,$M$2:$M$13)</f>
        <v>-0.1367608961458332</v>
      </c>
      <c r="I72" s="2">
        <f ca="1">Tabla1[[#This Row],[Cost]]-Tabla1[[#This Row],[Tendencia]]-Tabla1[[#This Row],[Estacionalidad]]</f>
        <v>2.0724639756944496E-2</v>
      </c>
    </row>
    <row r="73" spans="1:9" x14ac:dyDescent="0.25">
      <c r="A73" t="s">
        <v>74</v>
      </c>
      <c r="B73" s="1">
        <v>35582</v>
      </c>
      <c r="C73">
        <v>0.58857040000000005</v>
      </c>
      <c r="D73">
        <f t="shared" si="2"/>
        <v>0.60679574333333341</v>
      </c>
      <c r="E73">
        <f t="shared" ref="E73:E136" si="3">AVERAGE(D68:D79)</f>
        <v>0.67723357083333324</v>
      </c>
      <c r="F73">
        <f>Tabla1[[#This Row],[Cost]]-Tabla1[[#This Row],[Tendencia]]</f>
        <v>-8.8663170833333194E-2</v>
      </c>
      <c r="G73">
        <f>MONTH(Tabla1[[#This Row],[fecha]])</f>
        <v>6</v>
      </c>
      <c r="H73">
        <f ca="1">_xlfn.XLOOKUP(Tabla1[[#This Row],[Mes]],$L$2:$L$13,$M$2:$M$13)</f>
        <v>-9.9133701041666328E-2</v>
      </c>
      <c r="I73" s="2">
        <f ca="1">Tabla1[[#This Row],[Cost]]-Tabla1[[#This Row],[Tendencia]]-Tabla1[[#This Row],[Estacionalidad]]</f>
        <v>1.0470530208333134E-2</v>
      </c>
    </row>
    <row r="74" spans="1:9" x14ac:dyDescent="0.25">
      <c r="A74" t="s">
        <v>75</v>
      </c>
      <c r="B74" s="1">
        <v>35612</v>
      </c>
      <c r="C74">
        <v>0.66948036</v>
      </c>
      <c r="D74">
        <f t="shared" si="2"/>
        <v>0.64534813666666668</v>
      </c>
      <c r="E74">
        <f t="shared" si="3"/>
        <v>0.6773376130555554</v>
      </c>
      <c r="F74">
        <f>Tabla1[[#This Row],[Cost]]-Tabla1[[#This Row],[Tendencia]]</f>
        <v>-7.8572530555554021E-3</v>
      </c>
      <c r="G74">
        <f>MONTH(Tabla1[[#This Row],[fecha]])</f>
        <v>7</v>
      </c>
      <c r="H74">
        <f ca="1">_xlfn.XLOOKUP(Tabla1[[#This Row],[Mes]],$L$2:$L$13,$M$2:$M$13)</f>
        <v>-1.1486355624999913E-2</v>
      </c>
      <c r="I74" s="2">
        <f ca="1">Tabla1[[#This Row],[Cost]]-Tabla1[[#This Row],[Tendencia]]-Tabla1[[#This Row],[Estacionalidad]]</f>
        <v>3.629102569444511E-3</v>
      </c>
    </row>
    <row r="75" spans="1:9" x14ac:dyDescent="0.25">
      <c r="A75" t="s">
        <v>76</v>
      </c>
      <c r="B75" s="1">
        <v>35643</v>
      </c>
      <c r="C75">
        <v>0.67799365</v>
      </c>
      <c r="D75">
        <f t="shared" si="2"/>
        <v>0.70348983333333326</v>
      </c>
      <c r="E75">
        <f t="shared" si="3"/>
        <v>0.67788151305555555</v>
      </c>
      <c r="F75">
        <f>Tabla1[[#This Row],[Cost]]-Tabla1[[#This Row],[Tendencia]]</f>
        <v>1.1213694444445199E-4</v>
      </c>
      <c r="G75">
        <f>MONTH(Tabla1[[#This Row],[fecha]])</f>
        <v>8</v>
      </c>
      <c r="H75">
        <f ca="1">_xlfn.XLOOKUP(Tabla1[[#This Row],[Mes]],$L$2:$L$13,$M$2:$M$13)</f>
        <v>3.9656656666666922E-2</v>
      </c>
      <c r="I75" s="2">
        <f ca="1">Tabla1[[#This Row],[Cost]]-Tabla1[[#This Row],[Tendencia]]-Tabla1[[#This Row],[Estacionalidad]]</f>
        <v>-3.954451972222247E-2</v>
      </c>
    </row>
    <row r="76" spans="1:9" x14ac:dyDescent="0.25">
      <c r="A76" t="s">
        <v>77</v>
      </c>
      <c r="B76" s="1">
        <v>35674</v>
      </c>
      <c r="C76">
        <v>0.76299549</v>
      </c>
      <c r="D76">
        <f t="shared" si="2"/>
        <v>0.74690429333333341</v>
      </c>
      <c r="E76">
        <f t="shared" si="3"/>
        <v>0.67994985722222223</v>
      </c>
      <c r="F76">
        <f>Tabla1[[#This Row],[Cost]]-Tabla1[[#This Row],[Tendencia]]</f>
        <v>8.3045632777777767E-2</v>
      </c>
      <c r="G76">
        <f>MONTH(Tabla1[[#This Row],[fecha]])</f>
        <v>9</v>
      </c>
      <c r="H76">
        <f ca="1">_xlfn.XLOOKUP(Tabla1[[#This Row],[Mes]],$L$2:$L$13,$M$2:$M$13)</f>
        <v>8.483285409722191E-2</v>
      </c>
      <c r="I76" s="2">
        <f ca="1">Tabla1[[#This Row],[Cost]]-Tabla1[[#This Row],[Tendencia]]-Tabla1[[#This Row],[Estacionalidad]]</f>
        <v>-1.7872213194441433E-3</v>
      </c>
    </row>
    <row r="77" spans="1:9" x14ac:dyDescent="0.25">
      <c r="A77" t="s">
        <v>78</v>
      </c>
      <c r="B77" s="1">
        <v>35704</v>
      </c>
      <c r="C77">
        <v>0.79972374000000002</v>
      </c>
      <c r="D77">
        <f t="shared" si="2"/>
        <v>0.77774705</v>
      </c>
      <c r="E77">
        <f t="shared" si="3"/>
        <v>0.68099096194444453</v>
      </c>
      <c r="F77">
        <f>Tabla1[[#This Row],[Cost]]-Tabla1[[#This Row],[Tendencia]]</f>
        <v>0.11873277805555549</v>
      </c>
      <c r="G77">
        <f>MONTH(Tabla1[[#This Row],[fecha]])</f>
        <v>10</v>
      </c>
      <c r="H77">
        <f ca="1">_xlfn.XLOOKUP(Tabla1[[#This Row],[Mes]],$L$2:$L$13,$M$2:$M$13)</f>
        <v>0.13080354874999911</v>
      </c>
      <c r="I77" s="2">
        <f ca="1">Tabla1[[#This Row],[Cost]]-Tabla1[[#This Row],[Tendencia]]-Tabla1[[#This Row],[Estacionalidad]]</f>
        <v>-1.2070770694443622E-2</v>
      </c>
    </row>
    <row r="78" spans="1:9" x14ac:dyDescent="0.25">
      <c r="A78" t="s">
        <v>79</v>
      </c>
      <c r="B78" s="1">
        <v>35735</v>
      </c>
      <c r="C78">
        <v>0.77052191999999997</v>
      </c>
      <c r="D78">
        <f t="shared" si="2"/>
        <v>0.8548783333333333</v>
      </c>
      <c r="E78">
        <f t="shared" si="3"/>
        <v>0.68135596722222214</v>
      </c>
      <c r="F78">
        <f>Tabla1[[#This Row],[Cost]]-Tabla1[[#This Row],[Tendencia]]</f>
        <v>8.9165952777777835E-2</v>
      </c>
      <c r="G78">
        <f>MONTH(Tabla1[[#This Row],[fecha]])</f>
        <v>11</v>
      </c>
      <c r="H78">
        <f ca="1">_xlfn.XLOOKUP(Tabla1[[#This Row],[Mes]],$L$2:$L$13,$M$2:$M$13)</f>
        <v>0.14577509868055594</v>
      </c>
      <c r="I78" s="2">
        <f ca="1">Tabla1[[#This Row],[Cost]]-Tabla1[[#This Row],[Tendencia]]-Tabla1[[#This Row],[Estacionalidad]]</f>
        <v>-5.6609145902778102E-2</v>
      </c>
    </row>
    <row r="79" spans="1:9" x14ac:dyDescent="0.25">
      <c r="A79" t="s">
        <v>80</v>
      </c>
      <c r="B79" s="1">
        <v>35765</v>
      </c>
      <c r="C79">
        <v>0.99438934000000001</v>
      </c>
      <c r="D79">
        <f t="shared" si="2"/>
        <v>0.85515189666666658</v>
      </c>
      <c r="E79">
        <f t="shared" si="3"/>
        <v>0.6818091430555554</v>
      </c>
      <c r="F79">
        <f>Tabla1[[#This Row],[Cost]]-Tabla1[[#This Row],[Tendencia]]</f>
        <v>0.31258019694444461</v>
      </c>
      <c r="G79">
        <f>MONTH(Tabla1[[#This Row],[fecha]])</f>
        <v>12</v>
      </c>
      <c r="H79">
        <f ca="1">_xlfn.XLOOKUP(Tabla1[[#This Row],[Mes]],$L$2:$L$13,$M$2:$M$13)</f>
        <v>0.24521978491319479</v>
      </c>
      <c r="I79" s="2">
        <f ca="1">Tabla1[[#This Row],[Cost]]-Tabla1[[#This Row],[Tendencia]]-Tabla1[[#This Row],[Estacionalidad]]</f>
        <v>6.7360412031249817E-2</v>
      </c>
    </row>
    <row r="80" spans="1:9" x14ac:dyDescent="0.25">
      <c r="A80" t="s">
        <v>81</v>
      </c>
      <c r="B80" s="1">
        <v>35796</v>
      </c>
      <c r="C80">
        <v>0.80054442999999997</v>
      </c>
      <c r="D80">
        <f t="shared" si="2"/>
        <v>0.76183032666666672</v>
      </c>
      <c r="E80">
        <f t="shared" si="3"/>
        <v>0.68254919749999987</v>
      </c>
      <c r="F80">
        <f>Tabla1[[#This Row],[Cost]]-Tabla1[[#This Row],[Tendencia]]</f>
        <v>0.1179952325000001</v>
      </c>
      <c r="G80">
        <f>MONTH(Tabla1[[#This Row],[fecha]])</f>
        <v>1</v>
      </c>
      <c r="H80">
        <f ca="1">_xlfn.XLOOKUP(Tabla1[[#This Row],[Mes]],$L$2:$L$13,$M$2:$M$13)</f>
        <v>0.21042451446180468</v>
      </c>
      <c r="I80" s="2">
        <f ca="1">Tabla1[[#This Row],[Cost]]-Tabla1[[#This Row],[Tendencia]]-Tabla1[[#This Row],[Estacionalidad]]</f>
        <v>-9.2429281961804582E-2</v>
      </c>
    </row>
    <row r="81" spans="1:9" x14ac:dyDescent="0.25">
      <c r="A81" t="s">
        <v>82</v>
      </c>
      <c r="B81" s="1">
        <v>35827</v>
      </c>
      <c r="C81">
        <v>0.49055721000000002</v>
      </c>
      <c r="D81">
        <f t="shared" si="2"/>
        <v>0.60516987666666666</v>
      </c>
      <c r="E81">
        <f t="shared" si="3"/>
        <v>0.68376430527777776</v>
      </c>
      <c r="F81">
        <f>Tabla1[[#This Row],[Cost]]-Tabla1[[#This Row],[Tendencia]]</f>
        <v>-0.19320709527777774</v>
      </c>
      <c r="G81">
        <f>MONTH(Tabla1[[#This Row],[fecha]])</f>
        <v>2</v>
      </c>
      <c r="H81">
        <f ca="1">_xlfn.XLOOKUP(Tabla1[[#This Row],[Mes]],$L$2:$L$13,$M$2:$M$13)</f>
        <v>-0.24179140911458308</v>
      </c>
      <c r="I81" s="2">
        <f ca="1">Tabla1[[#This Row],[Cost]]-Tabla1[[#This Row],[Tendencia]]-Tabla1[[#This Row],[Estacionalidad]]</f>
        <v>4.8584313836805337E-2</v>
      </c>
    </row>
    <row r="82" spans="1:9" x14ac:dyDescent="0.25">
      <c r="A82" t="s">
        <v>83</v>
      </c>
      <c r="B82" s="1">
        <v>35855</v>
      </c>
      <c r="C82">
        <v>0.52440799000000005</v>
      </c>
      <c r="D82">
        <f t="shared" si="2"/>
        <v>0.51720489333333342</v>
      </c>
      <c r="E82">
        <f t="shared" si="3"/>
        <v>0.68423316694444447</v>
      </c>
      <c r="F82">
        <f>Tabla1[[#This Row],[Cost]]-Tabla1[[#This Row],[Tendencia]]</f>
        <v>-0.15982517694444442</v>
      </c>
      <c r="G82">
        <f>MONTH(Tabla1[[#This Row],[fecha]])</f>
        <v>3</v>
      </c>
      <c r="H82">
        <f ca="1">_xlfn.XLOOKUP(Tabla1[[#This Row],[Mes]],$L$2:$L$13,$M$2:$M$13)</f>
        <v>-0.17478011918402764</v>
      </c>
      <c r="I82" s="2">
        <f ca="1">Tabla1[[#This Row],[Cost]]-Tabla1[[#This Row],[Tendencia]]-Tabla1[[#This Row],[Estacionalidad]]</f>
        <v>1.4954942239583213E-2</v>
      </c>
    </row>
    <row r="83" spans="1:9" x14ac:dyDescent="0.25">
      <c r="A83" t="s">
        <v>84</v>
      </c>
      <c r="B83" s="1">
        <v>35886</v>
      </c>
      <c r="C83">
        <v>0.53664948000000001</v>
      </c>
      <c r="D83">
        <f t="shared" si="2"/>
        <v>0.53771600333333336</v>
      </c>
      <c r="E83">
        <f t="shared" si="3"/>
        <v>0.68587994750000014</v>
      </c>
      <c r="F83">
        <f>Tabla1[[#This Row],[Cost]]-Tabla1[[#This Row],[Tendencia]]</f>
        <v>-0.14923046750000013</v>
      </c>
      <c r="G83">
        <f>MONTH(Tabla1[[#This Row],[fecha]])</f>
        <v>4</v>
      </c>
      <c r="H83">
        <f ca="1">_xlfn.XLOOKUP(Tabla1[[#This Row],[Mes]],$L$2:$L$13,$M$2:$M$13)</f>
        <v>-0.19176819232638881</v>
      </c>
      <c r="I83" s="2">
        <f ca="1">Tabla1[[#This Row],[Cost]]-Tabla1[[#This Row],[Tendencia]]-Tabla1[[#This Row],[Estacionalidad]]</f>
        <v>4.2537724826388679E-2</v>
      </c>
    </row>
    <row r="84" spans="1:9" x14ac:dyDescent="0.25">
      <c r="A84" t="s">
        <v>85</v>
      </c>
      <c r="B84" s="1">
        <v>35916</v>
      </c>
      <c r="C84">
        <v>0.55209054000000002</v>
      </c>
      <c r="D84">
        <f t="shared" si="2"/>
        <v>0.56403521999999995</v>
      </c>
      <c r="E84">
        <f t="shared" si="3"/>
        <v>0.68617800027777776</v>
      </c>
      <c r="F84">
        <f>Tabla1[[#This Row],[Cost]]-Tabla1[[#This Row],[Tendencia]]</f>
        <v>-0.13408746027777774</v>
      </c>
      <c r="G84">
        <f>MONTH(Tabla1[[#This Row],[fecha]])</f>
        <v>5</v>
      </c>
      <c r="H84">
        <f ca="1">_xlfn.XLOOKUP(Tabla1[[#This Row],[Mes]],$L$2:$L$13,$M$2:$M$13)</f>
        <v>-0.1367608961458332</v>
      </c>
      <c r="I84" s="2">
        <f ca="1">Tabla1[[#This Row],[Cost]]-Tabla1[[#This Row],[Tendencia]]-Tabla1[[#This Row],[Estacionalidad]]</f>
        <v>2.6734358680554626E-3</v>
      </c>
    </row>
    <row r="85" spans="1:9" x14ac:dyDescent="0.25">
      <c r="A85" t="s">
        <v>86</v>
      </c>
      <c r="B85" s="1">
        <v>35947</v>
      </c>
      <c r="C85">
        <v>0.60336564000000004</v>
      </c>
      <c r="D85">
        <f t="shared" si="2"/>
        <v>0.61223385333333336</v>
      </c>
      <c r="E85">
        <f t="shared" si="3"/>
        <v>0.68946596666666682</v>
      </c>
      <c r="F85">
        <f>Tabla1[[#This Row],[Cost]]-Tabla1[[#This Row],[Tendencia]]</f>
        <v>-8.6100326666666782E-2</v>
      </c>
      <c r="G85">
        <f>MONTH(Tabla1[[#This Row],[fecha]])</f>
        <v>6</v>
      </c>
      <c r="H85">
        <f ca="1">_xlfn.XLOOKUP(Tabla1[[#This Row],[Mes]],$L$2:$L$13,$M$2:$M$13)</f>
        <v>-9.9133701041666328E-2</v>
      </c>
      <c r="I85" s="2">
        <f ca="1">Tabla1[[#This Row],[Cost]]-Tabla1[[#This Row],[Tendencia]]-Tabla1[[#This Row],[Estacionalidad]]</f>
        <v>1.3033374374999546E-2</v>
      </c>
    </row>
    <row r="86" spans="1:9" x14ac:dyDescent="0.25">
      <c r="A86" t="s">
        <v>87</v>
      </c>
      <c r="B86" s="1">
        <v>35977</v>
      </c>
      <c r="C86">
        <v>0.68124538000000001</v>
      </c>
      <c r="D86">
        <f t="shared" si="2"/>
        <v>0.65422879</v>
      </c>
      <c r="E86">
        <f t="shared" si="3"/>
        <v>0.69218871027777773</v>
      </c>
      <c r="F86">
        <f>Tabla1[[#This Row],[Cost]]-Tabla1[[#This Row],[Tendencia]]</f>
        <v>-1.0943330277777719E-2</v>
      </c>
      <c r="G86">
        <f>MONTH(Tabla1[[#This Row],[fecha]])</f>
        <v>7</v>
      </c>
      <c r="H86">
        <f ca="1">_xlfn.XLOOKUP(Tabla1[[#This Row],[Mes]],$L$2:$L$13,$M$2:$M$13)</f>
        <v>-1.1486355624999913E-2</v>
      </c>
      <c r="I86" s="2">
        <f ca="1">Tabla1[[#This Row],[Cost]]-Tabla1[[#This Row],[Tendencia]]-Tabla1[[#This Row],[Estacionalidad]]</f>
        <v>5.430253472221945E-4</v>
      </c>
    </row>
    <row r="87" spans="1:9" x14ac:dyDescent="0.25">
      <c r="A87" t="s">
        <v>88</v>
      </c>
      <c r="B87" s="1">
        <v>36008</v>
      </c>
      <c r="C87">
        <v>0.67807534999999997</v>
      </c>
      <c r="D87">
        <f t="shared" si="2"/>
        <v>0.71807112666666661</v>
      </c>
      <c r="E87">
        <f t="shared" si="3"/>
        <v>0.69894603555555557</v>
      </c>
      <c r="F87">
        <f>Tabla1[[#This Row],[Cost]]-Tabla1[[#This Row],[Tendencia]]</f>
        <v>-2.0870685555555601E-2</v>
      </c>
      <c r="G87">
        <f>MONTH(Tabla1[[#This Row],[fecha]])</f>
        <v>8</v>
      </c>
      <c r="H87">
        <f ca="1">_xlfn.XLOOKUP(Tabla1[[#This Row],[Mes]],$L$2:$L$13,$M$2:$M$13)</f>
        <v>3.9656656666666922E-2</v>
      </c>
      <c r="I87" s="2">
        <f ca="1">Tabla1[[#This Row],[Cost]]-Tabla1[[#This Row],[Tendencia]]-Tabla1[[#This Row],[Estacionalidad]]</f>
        <v>-6.0527342222222523E-2</v>
      </c>
    </row>
    <row r="88" spans="1:9" x14ac:dyDescent="0.25">
      <c r="A88" t="s">
        <v>89</v>
      </c>
      <c r="B88" s="1">
        <v>36039</v>
      </c>
      <c r="C88">
        <v>0.79489264999999998</v>
      </c>
      <c r="D88">
        <f t="shared" si="2"/>
        <v>0.75253063333333337</v>
      </c>
      <c r="E88">
        <f t="shared" si="3"/>
        <v>0.70416974611111105</v>
      </c>
      <c r="F88">
        <f>Tabla1[[#This Row],[Cost]]-Tabla1[[#This Row],[Tendencia]]</f>
        <v>9.0722903888888928E-2</v>
      </c>
      <c r="G88">
        <f>MONTH(Tabla1[[#This Row],[fecha]])</f>
        <v>9</v>
      </c>
      <c r="H88">
        <f ca="1">_xlfn.XLOOKUP(Tabla1[[#This Row],[Mes]],$L$2:$L$13,$M$2:$M$13)</f>
        <v>8.483285409722191E-2</v>
      </c>
      <c r="I88" s="2">
        <f ca="1">Tabla1[[#This Row],[Cost]]-Tabla1[[#This Row],[Tendencia]]-Tabla1[[#This Row],[Estacionalidad]]</f>
        <v>5.890049791667018E-3</v>
      </c>
    </row>
    <row r="89" spans="1:9" x14ac:dyDescent="0.25">
      <c r="A89" t="s">
        <v>90</v>
      </c>
      <c r="B89" s="1">
        <v>36069</v>
      </c>
      <c r="C89">
        <v>0.78462390000000004</v>
      </c>
      <c r="D89">
        <f t="shared" si="2"/>
        <v>0.79750841666666672</v>
      </c>
      <c r="E89">
        <f t="shared" si="3"/>
        <v>0.71119926555555557</v>
      </c>
      <c r="F89">
        <f>Tabla1[[#This Row],[Cost]]-Tabla1[[#This Row],[Tendencia]]</f>
        <v>7.342463444444447E-2</v>
      </c>
      <c r="G89">
        <f>MONTH(Tabla1[[#This Row],[fecha]])</f>
        <v>10</v>
      </c>
      <c r="H89">
        <f ca="1">_xlfn.XLOOKUP(Tabla1[[#This Row],[Mes]],$L$2:$L$13,$M$2:$M$13)</f>
        <v>0.13080354874999911</v>
      </c>
      <c r="I89" s="2">
        <f ca="1">Tabla1[[#This Row],[Cost]]-Tabla1[[#This Row],[Tendencia]]-Tabla1[[#This Row],[Estacionalidad]]</f>
        <v>-5.737891430555464E-2</v>
      </c>
    </row>
    <row r="90" spans="1:9" x14ac:dyDescent="0.25">
      <c r="A90" t="s">
        <v>91</v>
      </c>
      <c r="B90" s="1">
        <v>36100</v>
      </c>
      <c r="C90">
        <v>0.81300870000000003</v>
      </c>
      <c r="D90">
        <f t="shared" si="2"/>
        <v>0.85845496666666676</v>
      </c>
      <c r="E90">
        <f t="shared" si="3"/>
        <v>0.71744873888888883</v>
      </c>
      <c r="F90">
        <f>Tabla1[[#This Row],[Cost]]-Tabla1[[#This Row],[Tendencia]]</f>
        <v>9.5559961111111202E-2</v>
      </c>
      <c r="G90">
        <f>MONTH(Tabla1[[#This Row],[fecha]])</f>
        <v>11</v>
      </c>
      <c r="H90">
        <f ca="1">_xlfn.XLOOKUP(Tabla1[[#This Row],[Mes]],$L$2:$L$13,$M$2:$M$13)</f>
        <v>0.14577509868055594</v>
      </c>
      <c r="I90" s="2">
        <f ca="1">Tabla1[[#This Row],[Cost]]-Tabla1[[#This Row],[Tendencia]]-Tabla1[[#This Row],[Estacionalidad]]</f>
        <v>-5.0215137569444734E-2</v>
      </c>
    </row>
    <row r="91" spans="1:9" x14ac:dyDescent="0.25">
      <c r="A91" t="s">
        <v>92</v>
      </c>
      <c r="B91" s="1">
        <v>36130</v>
      </c>
      <c r="C91">
        <v>0.9777323</v>
      </c>
      <c r="D91">
        <f t="shared" si="2"/>
        <v>0.89460749333333334</v>
      </c>
      <c r="E91">
        <f t="shared" si="3"/>
        <v>0.72514476611111112</v>
      </c>
      <c r="F91">
        <f>Tabla1[[#This Row],[Cost]]-Tabla1[[#This Row],[Tendencia]]</f>
        <v>0.25258753388888888</v>
      </c>
      <c r="G91">
        <f>MONTH(Tabla1[[#This Row],[fecha]])</f>
        <v>12</v>
      </c>
      <c r="H91">
        <f ca="1">_xlfn.XLOOKUP(Tabla1[[#This Row],[Mes]],$L$2:$L$13,$M$2:$M$13)</f>
        <v>0.24521978491319479</v>
      </c>
      <c r="I91" s="2">
        <f ca="1">Tabla1[[#This Row],[Cost]]-Tabla1[[#This Row],[Tendencia]]-Tabla1[[#This Row],[Estacionalidad]]</f>
        <v>7.3677489756940884E-3</v>
      </c>
    </row>
    <row r="92" spans="1:9" x14ac:dyDescent="0.25">
      <c r="A92" t="s">
        <v>93</v>
      </c>
      <c r="B92" s="1">
        <v>36161</v>
      </c>
      <c r="C92">
        <v>0.89308147999999998</v>
      </c>
      <c r="D92">
        <f t="shared" si="2"/>
        <v>0.79450324999999999</v>
      </c>
      <c r="E92">
        <f t="shared" si="3"/>
        <v>0.73508975583333325</v>
      </c>
      <c r="F92">
        <f>Tabla1[[#This Row],[Cost]]-Tabla1[[#This Row],[Tendencia]]</f>
        <v>0.15799172416666674</v>
      </c>
      <c r="G92">
        <f>MONTH(Tabla1[[#This Row],[fecha]])</f>
        <v>1</v>
      </c>
      <c r="H92">
        <f ca="1">_xlfn.XLOOKUP(Tabla1[[#This Row],[Mes]],$L$2:$L$13,$M$2:$M$13)</f>
        <v>0.21042451446180468</v>
      </c>
      <c r="I92" s="2">
        <f ca="1">Tabla1[[#This Row],[Cost]]-Tabla1[[#This Row],[Tendencia]]-Tabla1[[#This Row],[Estacionalidad]]</f>
        <v>-5.2432790295137949E-2</v>
      </c>
    </row>
    <row r="93" spans="1:9" x14ac:dyDescent="0.25">
      <c r="A93" t="s">
        <v>94</v>
      </c>
      <c r="B93" s="1">
        <v>36192</v>
      </c>
      <c r="C93">
        <v>0.51269597</v>
      </c>
      <c r="D93">
        <f t="shared" si="2"/>
        <v>0.68625778000000004</v>
      </c>
      <c r="E93">
        <f t="shared" si="3"/>
        <v>0.74496057888888878</v>
      </c>
      <c r="F93">
        <f>Tabla1[[#This Row],[Cost]]-Tabla1[[#This Row],[Tendencia]]</f>
        <v>-0.23226460888888878</v>
      </c>
      <c r="G93">
        <f>MONTH(Tabla1[[#This Row],[fecha]])</f>
        <v>2</v>
      </c>
      <c r="H93">
        <f ca="1">_xlfn.XLOOKUP(Tabla1[[#This Row],[Mes]],$L$2:$L$13,$M$2:$M$13)</f>
        <v>-0.24179140911458308</v>
      </c>
      <c r="I93" s="2">
        <f ca="1">Tabla1[[#This Row],[Cost]]-Tabla1[[#This Row],[Tendencia]]-Tabla1[[#This Row],[Estacionalidad]]</f>
        <v>9.5268002256942985E-3</v>
      </c>
    </row>
    <row r="94" spans="1:9" x14ac:dyDescent="0.25">
      <c r="A94" t="s">
        <v>95</v>
      </c>
      <c r="B94" s="1">
        <v>36220</v>
      </c>
      <c r="C94">
        <v>0.65299589000000002</v>
      </c>
      <c r="D94">
        <f t="shared" si="2"/>
        <v>0.57988941999999999</v>
      </c>
      <c r="E94">
        <f t="shared" si="3"/>
        <v>0.75549454416666662</v>
      </c>
      <c r="F94">
        <f>Tabla1[[#This Row],[Cost]]-Tabla1[[#This Row],[Tendencia]]</f>
        <v>-0.10249865416666659</v>
      </c>
      <c r="G94">
        <f>MONTH(Tabla1[[#This Row],[fecha]])</f>
        <v>3</v>
      </c>
      <c r="H94">
        <f ca="1">_xlfn.XLOOKUP(Tabla1[[#This Row],[Mes]],$L$2:$L$13,$M$2:$M$13)</f>
        <v>-0.17478011918402764</v>
      </c>
      <c r="I94" s="2">
        <f ca="1">Tabla1[[#This Row],[Cost]]-Tabla1[[#This Row],[Tendencia]]-Tabla1[[#This Row],[Estacionalidad]]</f>
        <v>7.2281465017361046E-2</v>
      </c>
    </row>
    <row r="95" spans="1:9" x14ac:dyDescent="0.25">
      <c r="A95" t="s">
        <v>96</v>
      </c>
      <c r="B95" s="1">
        <v>36251</v>
      </c>
      <c r="C95">
        <v>0.57397640000000005</v>
      </c>
      <c r="D95">
        <f t="shared" si="2"/>
        <v>0.62207023666666661</v>
      </c>
      <c r="E95">
        <f t="shared" si="3"/>
        <v>0.76508855000000009</v>
      </c>
      <c r="F95">
        <f>Tabla1[[#This Row],[Cost]]-Tabla1[[#This Row],[Tendencia]]</f>
        <v>-0.19111215000000004</v>
      </c>
      <c r="G95">
        <f>MONTH(Tabla1[[#This Row],[fecha]])</f>
        <v>4</v>
      </c>
      <c r="H95">
        <f ca="1">_xlfn.XLOOKUP(Tabla1[[#This Row],[Mes]],$L$2:$L$13,$M$2:$M$13)</f>
        <v>-0.19176819232638881</v>
      </c>
      <c r="I95" s="2">
        <f ca="1">Tabla1[[#This Row],[Cost]]-Tabla1[[#This Row],[Tendencia]]-Tabla1[[#This Row],[Estacionalidad]]</f>
        <v>6.5604232638877269E-4</v>
      </c>
    </row>
    <row r="96" spans="1:9" x14ac:dyDescent="0.25">
      <c r="A96" t="s">
        <v>97</v>
      </c>
      <c r="B96" s="1">
        <v>36281</v>
      </c>
      <c r="C96">
        <v>0.63923841999999997</v>
      </c>
      <c r="D96">
        <f t="shared" si="2"/>
        <v>0.63902890000000001</v>
      </c>
      <c r="E96">
        <f t="shared" si="3"/>
        <v>0.77399196499999989</v>
      </c>
      <c r="F96">
        <f>Tabla1[[#This Row],[Cost]]-Tabla1[[#This Row],[Tendencia]]</f>
        <v>-0.13475354499999992</v>
      </c>
      <c r="G96">
        <f>MONTH(Tabla1[[#This Row],[fecha]])</f>
        <v>5</v>
      </c>
      <c r="H96">
        <f ca="1">_xlfn.XLOOKUP(Tabla1[[#This Row],[Mes]],$L$2:$L$13,$M$2:$M$13)</f>
        <v>-0.1367608961458332</v>
      </c>
      <c r="I96" s="2">
        <f ca="1">Tabla1[[#This Row],[Cost]]-Tabla1[[#This Row],[Tendencia]]-Tabla1[[#This Row],[Estacionalidad]]</f>
        <v>2.0073511458332804E-3</v>
      </c>
    </row>
    <row r="97" spans="1:9" x14ac:dyDescent="0.25">
      <c r="A97" t="s">
        <v>98</v>
      </c>
      <c r="B97" s="1">
        <v>36312</v>
      </c>
      <c r="C97">
        <v>0.70387188000000001</v>
      </c>
      <c r="D97">
        <f t="shared" si="2"/>
        <v>0.70458618000000006</v>
      </c>
      <c r="E97">
        <f t="shared" si="3"/>
        <v>0.78187588583333323</v>
      </c>
      <c r="F97">
        <f>Tabla1[[#This Row],[Cost]]-Tabla1[[#This Row],[Tendencia]]</f>
        <v>-7.8004005833333223E-2</v>
      </c>
      <c r="G97">
        <f>MONTH(Tabla1[[#This Row],[fecha]])</f>
        <v>6</v>
      </c>
      <c r="H97">
        <f ca="1">_xlfn.XLOOKUP(Tabla1[[#This Row],[Mes]],$L$2:$L$13,$M$2:$M$13)</f>
        <v>-9.9133701041666328E-2</v>
      </c>
      <c r="I97" s="2">
        <f ca="1">Tabla1[[#This Row],[Cost]]-Tabla1[[#This Row],[Tendencia]]-Tabla1[[#This Row],[Estacionalidad]]</f>
        <v>2.1129695208333105E-2</v>
      </c>
    </row>
    <row r="98" spans="1:9" x14ac:dyDescent="0.25">
      <c r="A98" t="s">
        <v>99</v>
      </c>
      <c r="B98" s="1">
        <v>36342</v>
      </c>
      <c r="C98">
        <v>0.77064823999999998</v>
      </c>
      <c r="D98">
        <f t="shared" si="2"/>
        <v>0.77356866666666668</v>
      </c>
      <c r="E98">
        <f t="shared" si="3"/>
        <v>0.78771323861111109</v>
      </c>
      <c r="F98">
        <f>Tabla1[[#This Row],[Cost]]-Tabla1[[#This Row],[Tendencia]]</f>
        <v>-1.7064998611111104E-2</v>
      </c>
      <c r="G98">
        <f>MONTH(Tabla1[[#This Row],[fecha]])</f>
        <v>7</v>
      </c>
      <c r="H98">
        <f ca="1">_xlfn.XLOOKUP(Tabla1[[#This Row],[Mes]],$L$2:$L$13,$M$2:$M$13)</f>
        <v>-1.1486355624999913E-2</v>
      </c>
      <c r="I98" s="2">
        <f ca="1">Tabla1[[#This Row],[Cost]]-Tabla1[[#This Row],[Tendencia]]-Tabla1[[#This Row],[Estacionalidad]]</f>
        <v>-5.5786429861111909E-3</v>
      </c>
    </row>
    <row r="99" spans="1:9" x14ac:dyDescent="0.25">
      <c r="A99" t="s">
        <v>100</v>
      </c>
      <c r="B99" s="1">
        <v>36373</v>
      </c>
      <c r="C99">
        <v>0.84618587999999995</v>
      </c>
      <c r="D99">
        <f t="shared" si="2"/>
        <v>0.83652100333333335</v>
      </c>
      <c r="E99">
        <f t="shared" si="3"/>
        <v>0.79056547972222224</v>
      </c>
      <c r="F99">
        <f>Tabla1[[#This Row],[Cost]]-Tabla1[[#This Row],[Tendencia]]</f>
        <v>5.5620400277777704E-2</v>
      </c>
      <c r="G99">
        <f>MONTH(Tabla1[[#This Row],[fecha]])</f>
        <v>8</v>
      </c>
      <c r="H99">
        <f ca="1">_xlfn.XLOOKUP(Tabla1[[#This Row],[Mes]],$L$2:$L$13,$M$2:$M$13)</f>
        <v>3.9656656666666922E-2</v>
      </c>
      <c r="I99" s="2">
        <f ca="1">Tabla1[[#This Row],[Cost]]-Tabla1[[#This Row],[Tendencia]]-Tabla1[[#This Row],[Estacionalidad]]</f>
        <v>1.5963743611110782E-2</v>
      </c>
    </row>
    <row r="100" spans="1:9" x14ac:dyDescent="0.25">
      <c r="A100" t="s">
        <v>101</v>
      </c>
      <c r="B100" s="1">
        <v>36404</v>
      </c>
      <c r="C100">
        <v>0.89272889</v>
      </c>
      <c r="D100">
        <f t="shared" si="2"/>
        <v>0.87893821666666661</v>
      </c>
      <c r="E100">
        <f t="shared" si="3"/>
        <v>0.79254119694444458</v>
      </c>
      <c r="F100">
        <f>Tabla1[[#This Row],[Cost]]-Tabla1[[#This Row],[Tendencia]]</f>
        <v>0.10018769305555542</v>
      </c>
      <c r="G100">
        <f>MONTH(Tabla1[[#This Row],[fecha]])</f>
        <v>9</v>
      </c>
      <c r="H100">
        <f ca="1">_xlfn.XLOOKUP(Tabla1[[#This Row],[Mes]],$L$2:$L$13,$M$2:$M$13)</f>
        <v>8.483285409722191E-2</v>
      </c>
      <c r="I100" s="2">
        <f ca="1">Tabla1[[#This Row],[Cost]]-Tabla1[[#This Row],[Tendencia]]-Tabla1[[#This Row],[Estacionalidad]]</f>
        <v>1.5354838958333505E-2</v>
      </c>
    </row>
    <row r="101" spans="1:9" x14ac:dyDescent="0.25">
      <c r="A101" t="s">
        <v>102</v>
      </c>
      <c r="B101" s="1">
        <v>36434</v>
      </c>
      <c r="C101">
        <v>0.89789987999999998</v>
      </c>
      <c r="D101">
        <f t="shared" si="2"/>
        <v>0.91263648666666664</v>
      </c>
      <c r="E101">
        <f t="shared" si="3"/>
        <v>0.79355511583333327</v>
      </c>
      <c r="F101">
        <f>Tabla1[[#This Row],[Cost]]-Tabla1[[#This Row],[Tendencia]]</f>
        <v>0.10434476416666671</v>
      </c>
      <c r="G101">
        <f>MONTH(Tabla1[[#This Row],[fecha]])</f>
        <v>10</v>
      </c>
      <c r="H101">
        <f ca="1">_xlfn.XLOOKUP(Tabla1[[#This Row],[Mes]],$L$2:$L$13,$M$2:$M$13)</f>
        <v>0.13080354874999911</v>
      </c>
      <c r="I101" s="2">
        <f ca="1">Tabla1[[#This Row],[Cost]]-Tabla1[[#This Row],[Tendencia]]-Tabla1[[#This Row],[Estacionalidad]]</f>
        <v>-2.6458784583332395E-2</v>
      </c>
    </row>
    <row r="102" spans="1:9" x14ac:dyDescent="0.25">
      <c r="A102" t="s">
        <v>103</v>
      </c>
      <c r="B102" s="1">
        <v>36465</v>
      </c>
      <c r="C102">
        <v>0.94728069000000004</v>
      </c>
      <c r="D102">
        <f t="shared" si="2"/>
        <v>0.96529594666666674</v>
      </c>
      <c r="E102">
        <f t="shared" si="3"/>
        <v>0.79615618249999986</v>
      </c>
      <c r="F102">
        <f>Tabla1[[#This Row],[Cost]]-Tabla1[[#This Row],[Tendencia]]</f>
        <v>0.15112450750000017</v>
      </c>
      <c r="G102">
        <f>MONTH(Tabla1[[#This Row],[fecha]])</f>
        <v>11</v>
      </c>
      <c r="H102">
        <f ca="1">_xlfn.XLOOKUP(Tabla1[[#This Row],[Mes]],$L$2:$L$13,$M$2:$M$13)</f>
        <v>0.14577509868055594</v>
      </c>
      <c r="I102" s="2">
        <f ca="1">Tabla1[[#This Row],[Cost]]-Tabla1[[#This Row],[Tendencia]]-Tabla1[[#This Row],[Estacionalidad]]</f>
        <v>5.3494088194442346E-3</v>
      </c>
    </row>
    <row r="103" spans="1:9" x14ac:dyDescent="0.25">
      <c r="A103" t="s">
        <v>104</v>
      </c>
      <c r="B103" s="1">
        <v>36495</v>
      </c>
      <c r="C103">
        <v>1.05070727</v>
      </c>
      <c r="D103">
        <f t="shared" si="2"/>
        <v>0.98921454333333336</v>
      </c>
      <c r="E103">
        <f t="shared" si="3"/>
        <v>0.79987384277777762</v>
      </c>
      <c r="F103">
        <f>Tabla1[[#This Row],[Cost]]-Tabla1[[#This Row],[Tendencia]]</f>
        <v>0.25083342722222235</v>
      </c>
      <c r="G103">
        <f>MONTH(Tabla1[[#This Row],[fecha]])</f>
        <v>12</v>
      </c>
      <c r="H103">
        <f ca="1">_xlfn.XLOOKUP(Tabla1[[#This Row],[Mes]],$L$2:$L$13,$M$2:$M$13)</f>
        <v>0.24521978491319479</v>
      </c>
      <c r="I103" s="2">
        <f ca="1">Tabla1[[#This Row],[Cost]]-Tabla1[[#This Row],[Tendencia]]-Tabla1[[#This Row],[Estacionalidad]]</f>
        <v>5.6136423090275556E-3</v>
      </c>
    </row>
    <row r="104" spans="1:9" x14ac:dyDescent="0.25">
      <c r="A104" t="s">
        <v>105</v>
      </c>
      <c r="B104" s="1">
        <v>36526</v>
      </c>
      <c r="C104">
        <v>0.96965566999999997</v>
      </c>
      <c r="D104">
        <f t="shared" si="2"/>
        <v>0.86455148333333331</v>
      </c>
      <c r="E104">
        <f t="shared" si="3"/>
        <v>0.80342004777777742</v>
      </c>
      <c r="F104">
        <f>Tabla1[[#This Row],[Cost]]-Tabla1[[#This Row],[Tendencia]]</f>
        <v>0.16623562222222255</v>
      </c>
      <c r="G104">
        <f>MONTH(Tabla1[[#This Row],[fecha]])</f>
        <v>1</v>
      </c>
      <c r="H104">
        <f ca="1">_xlfn.XLOOKUP(Tabla1[[#This Row],[Mes]],$L$2:$L$13,$M$2:$M$13)</f>
        <v>0.21042451446180468</v>
      </c>
      <c r="I104" s="2">
        <f ca="1">Tabla1[[#This Row],[Cost]]-Tabla1[[#This Row],[Tendencia]]-Tabla1[[#This Row],[Estacionalidad]]</f>
        <v>-4.4188892239582139E-2</v>
      </c>
    </row>
    <row r="105" spans="1:9" x14ac:dyDescent="0.25">
      <c r="A105" t="s">
        <v>106</v>
      </c>
      <c r="B105" s="1">
        <v>36557</v>
      </c>
      <c r="C105">
        <v>0.57329151</v>
      </c>
      <c r="D105">
        <f t="shared" si="2"/>
        <v>0.72048467333333333</v>
      </c>
      <c r="E105">
        <f t="shared" si="3"/>
        <v>0.80446268805555532</v>
      </c>
      <c r="F105">
        <f>Tabla1[[#This Row],[Cost]]-Tabla1[[#This Row],[Tendencia]]</f>
        <v>-0.23117117805555532</v>
      </c>
      <c r="G105">
        <f>MONTH(Tabla1[[#This Row],[fecha]])</f>
        <v>2</v>
      </c>
      <c r="H105">
        <f ca="1">_xlfn.XLOOKUP(Tabla1[[#This Row],[Mes]],$L$2:$L$13,$M$2:$M$13)</f>
        <v>-0.24179140911458308</v>
      </c>
      <c r="I105" s="2">
        <f ca="1">Tabla1[[#This Row],[Cost]]-Tabla1[[#This Row],[Tendencia]]-Tabla1[[#This Row],[Estacionalidad]]</f>
        <v>1.0620231059027763E-2</v>
      </c>
    </row>
    <row r="106" spans="1:9" x14ac:dyDescent="0.25">
      <c r="A106" t="s">
        <v>107</v>
      </c>
      <c r="B106" s="1">
        <v>36586</v>
      </c>
      <c r="C106">
        <v>0.61850684</v>
      </c>
      <c r="D106">
        <f t="shared" si="2"/>
        <v>0.60359802666666662</v>
      </c>
      <c r="E106">
        <f t="shared" si="3"/>
        <v>0.80473600722222216</v>
      </c>
      <c r="F106">
        <f>Tabla1[[#This Row],[Cost]]-Tabla1[[#This Row],[Tendencia]]</f>
        <v>-0.18622916722222216</v>
      </c>
      <c r="G106">
        <f>MONTH(Tabla1[[#This Row],[fecha]])</f>
        <v>3</v>
      </c>
      <c r="H106">
        <f ca="1">_xlfn.XLOOKUP(Tabla1[[#This Row],[Mes]],$L$2:$L$13,$M$2:$M$13)</f>
        <v>-0.17478011918402764</v>
      </c>
      <c r="I106" s="2">
        <f ca="1">Tabla1[[#This Row],[Cost]]-Tabla1[[#This Row],[Tendencia]]-Tabla1[[#This Row],[Estacionalidad]]</f>
        <v>-1.144904803819452E-2</v>
      </c>
    </row>
    <row r="107" spans="1:9" x14ac:dyDescent="0.25">
      <c r="A107" t="s">
        <v>108</v>
      </c>
      <c r="B107" s="1">
        <v>36617</v>
      </c>
      <c r="C107">
        <v>0.61899572999999997</v>
      </c>
      <c r="D107">
        <f t="shared" si="2"/>
        <v>0.63423726333333297</v>
      </c>
      <c r="E107">
        <f t="shared" si="3"/>
        <v>0.80421812805555526</v>
      </c>
      <c r="F107">
        <f>Tabla1[[#This Row],[Cost]]-Tabla1[[#This Row],[Tendencia]]</f>
        <v>-0.18522239805555529</v>
      </c>
      <c r="G107">
        <f>MONTH(Tabla1[[#This Row],[fecha]])</f>
        <v>4</v>
      </c>
      <c r="H107">
        <f ca="1">_xlfn.XLOOKUP(Tabla1[[#This Row],[Mes]],$L$2:$L$13,$M$2:$M$13)</f>
        <v>-0.19176819232638881</v>
      </c>
      <c r="I107" s="2">
        <f ca="1">Tabla1[[#This Row],[Cost]]-Tabla1[[#This Row],[Tendencia]]-Tabla1[[#This Row],[Estacionalidad]]</f>
        <v>6.5457942708335159E-3</v>
      </c>
    </row>
    <row r="108" spans="1:9" x14ac:dyDescent="0.25">
      <c r="A108" t="s">
        <v>109</v>
      </c>
      <c r="B108" s="1">
        <v>36647</v>
      </c>
      <c r="C108">
        <v>0.66520921999999905</v>
      </c>
      <c r="D108">
        <f t="shared" si="2"/>
        <v>0.67024169999999972</v>
      </c>
      <c r="E108">
        <f t="shared" si="3"/>
        <v>0.80452794916666637</v>
      </c>
      <c r="F108">
        <f>Tabla1[[#This Row],[Cost]]-Tabla1[[#This Row],[Tendencia]]</f>
        <v>-0.13931872916666732</v>
      </c>
      <c r="G108">
        <f>MONTH(Tabla1[[#This Row],[fecha]])</f>
        <v>5</v>
      </c>
      <c r="H108">
        <f ca="1">_xlfn.XLOOKUP(Tabla1[[#This Row],[Mes]],$L$2:$L$13,$M$2:$M$13)</f>
        <v>-0.1367608961458332</v>
      </c>
      <c r="I108" s="2">
        <f ca="1">Tabla1[[#This Row],[Cost]]-Tabla1[[#This Row],[Tendencia]]-Tabla1[[#This Row],[Estacionalidad]]</f>
        <v>-2.5578330208341216E-3</v>
      </c>
    </row>
    <row r="109" spans="1:9" x14ac:dyDescent="0.25">
      <c r="A109" t="s">
        <v>110</v>
      </c>
      <c r="B109" s="1">
        <v>36678</v>
      </c>
      <c r="C109">
        <v>0.72652015000000003</v>
      </c>
      <c r="D109">
        <f t="shared" si="2"/>
        <v>0.7491981033333327</v>
      </c>
      <c r="E109">
        <f t="shared" si="3"/>
        <v>0.80529967416666637</v>
      </c>
      <c r="F109">
        <f>Tabla1[[#This Row],[Cost]]-Tabla1[[#This Row],[Tendencia]]</f>
        <v>-7.8779524166666337E-2</v>
      </c>
      <c r="G109">
        <f>MONTH(Tabla1[[#This Row],[fecha]])</f>
        <v>6</v>
      </c>
      <c r="H109">
        <f ca="1">_xlfn.XLOOKUP(Tabla1[[#This Row],[Mes]],$L$2:$L$13,$M$2:$M$13)</f>
        <v>-9.9133701041666328E-2</v>
      </c>
      <c r="I109" s="2">
        <f ca="1">Tabla1[[#This Row],[Cost]]-Tabla1[[#This Row],[Tendencia]]-Tabla1[[#This Row],[Estacionalidad]]</f>
        <v>2.0354176874999991E-2</v>
      </c>
    </row>
    <row r="110" spans="1:9" x14ac:dyDescent="0.25">
      <c r="A110" t="s">
        <v>111</v>
      </c>
      <c r="B110" s="1">
        <v>36708</v>
      </c>
      <c r="C110">
        <v>0.85586493999999902</v>
      </c>
      <c r="D110">
        <f t="shared" si="2"/>
        <v>0.81612312666666631</v>
      </c>
      <c r="E110">
        <f t="shared" si="3"/>
        <v>0.80457252333333329</v>
      </c>
      <c r="F110">
        <f>Tabla1[[#This Row],[Cost]]-Tabla1[[#This Row],[Tendencia]]</f>
        <v>5.129241666666573E-2</v>
      </c>
      <c r="G110">
        <f>MONTH(Tabla1[[#This Row],[fecha]])</f>
        <v>7</v>
      </c>
      <c r="H110">
        <f ca="1">_xlfn.XLOOKUP(Tabla1[[#This Row],[Mes]],$L$2:$L$13,$M$2:$M$13)</f>
        <v>-1.1486355624999913E-2</v>
      </c>
      <c r="I110" s="2">
        <f ca="1">Tabla1[[#This Row],[Cost]]-Tabla1[[#This Row],[Tendencia]]-Tabla1[[#This Row],[Estacionalidad]]</f>
        <v>6.2778772291665647E-2</v>
      </c>
    </row>
    <row r="111" spans="1:9" x14ac:dyDescent="0.25">
      <c r="A111" t="s">
        <v>112</v>
      </c>
      <c r="B111" s="1">
        <v>36739</v>
      </c>
      <c r="C111">
        <v>0.86598428999999999</v>
      </c>
      <c r="D111">
        <f t="shared" si="2"/>
        <v>0.84903268666666631</v>
      </c>
      <c r="E111">
        <f t="shared" si="3"/>
        <v>0.80639384527777747</v>
      </c>
      <c r="F111">
        <f>Tabla1[[#This Row],[Cost]]-Tabla1[[#This Row],[Tendencia]]</f>
        <v>5.9590444722222524E-2</v>
      </c>
      <c r="G111">
        <f>MONTH(Tabla1[[#This Row],[fecha]])</f>
        <v>8</v>
      </c>
      <c r="H111">
        <f ca="1">_xlfn.XLOOKUP(Tabla1[[#This Row],[Mes]],$L$2:$L$13,$M$2:$M$13)</f>
        <v>3.9656656666666922E-2</v>
      </c>
      <c r="I111" s="2">
        <f ca="1">Tabla1[[#This Row],[Cost]]-Tabla1[[#This Row],[Tendencia]]-Tabla1[[#This Row],[Estacionalidad]]</f>
        <v>1.9933788055555603E-2</v>
      </c>
    </row>
    <row r="112" spans="1:9" x14ac:dyDescent="0.25">
      <c r="A112" t="s">
        <v>113</v>
      </c>
      <c r="B112" s="1">
        <v>36770</v>
      </c>
      <c r="C112">
        <v>0.82524883000000004</v>
      </c>
      <c r="D112">
        <f t="shared" si="2"/>
        <v>0.88221804666666659</v>
      </c>
      <c r="E112">
        <f t="shared" si="3"/>
        <v>0.80697418527777776</v>
      </c>
      <c r="F112">
        <f>Tabla1[[#This Row],[Cost]]-Tabla1[[#This Row],[Tendencia]]</f>
        <v>1.8274644722222289E-2</v>
      </c>
      <c r="G112">
        <f>MONTH(Tabla1[[#This Row],[fecha]])</f>
        <v>9</v>
      </c>
      <c r="H112">
        <f ca="1">_xlfn.XLOOKUP(Tabla1[[#This Row],[Mes]],$L$2:$L$13,$M$2:$M$13)</f>
        <v>8.483285409722191E-2</v>
      </c>
      <c r="I112" s="2">
        <f ca="1">Tabla1[[#This Row],[Cost]]-Tabla1[[#This Row],[Tendencia]]-Tabla1[[#This Row],[Estacionalidad]]</f>
        <v>-6.6558209374999622E-2</v>
      </c>
    </row>
    <row r="113" spans="1:9" x14ac:dyDescent="0.25">
      <c r="A113" t="s">
        <v>114</v>
      </c>
      <c r="B113" s="1">
        <v>36800</v>
      </c>
      <c r="C113">
        <v>0.95542101999999995</v>
      </c>
      <c r="D113">
        <f t="shared" si="2"/>
        <v>0.90642193666666671</v>
      </c>
      <c r="E113">
        <f t="shared" si="3"/>
        <v>0.81037535111111081</v>
      </c>
      <c r="F113">
        <f>Tabla1[[#This Row],[Cost]]-Tabla1[[#This Row],[Tendencia]]</f>
        <v>0.14504566888888915</v>
      </c>
      <c r="G113">
        <f>MONTH(Tabla1[[#This Row],[fecha]])</f>
        <v>10</v>
      </c>
      <c r="H113">
        <f ca="1">_xlfn.XLOOKUP(Tabla1[[#This Row],[Mes]],$L$2:$L$13,$M$2:$M$13)</f>
        <v>0.13080354874999911</v>
      </c>
      <c r="I113" s="2">
        <f ca="1">Tabla1[[#This Row],[Cost]]-Tabla1[[#This Row],[Tendencia]]-Tabla1[[#This Row],[Estacionalidad]]</f>
        <v>1.4242120138890035E-2</v>
      </c>
    </row>
    <row r="114" spans="1:9" x14ac:dyDescent="0.25">
      <c r="A114" t="s">
        <v>115</v>
      </c>
      <c r="B114" s="1">
        <v>36831</v>
      </c>
      <c r="C114">
        <v>0.93859596000000001</v>
      </c>
      <c r="D114">
        <f t="shared" si="2"/>
        <v>0.96901379999999993</v>
      </c>
      <c r="E114">
        <f t="shared" si="3"/>
        <v>0.81152230666666636</v>
      </c>
      <c r="F114">
        <f>Tabla1[[#This Row],[Cost]]-Tabla1[[#This Row],[Tendencia]]</f>
        <v>0.12707365333333365</v>
      </c>
      <c r="G114">
        <f>MONTH(Tabla1[[#This Row],[fecha]])</f>
        <v>11</v>
      </c>
      <c r="H114">
        <f ca="1">_xlfn.XLOOKUP(Tabla1[[#This Row],[Mes]],$L$2:$L$13,$M$2:$M$13)</f>
        <v>0.14577509868055594</v>
      </c>
      <c r="I114" s="2">
        <f ca="1">Tabla1[[#This Row],[Cost]]-Tabla1[[#This Row],[Tendencia]]-Tabla1[[#This Row],[Estacionalidad]]</f>
        <v>-1.870144534722229E-2</v>
      </c>
    </row>
    <row r="115" spans="1:9" x14ac:dyDescent="0.25">
      <c r="A115" t="s">
        <v>116</v>
      </c>
      <c r="B115" s="1">
        <v>36861</v>
      </c>
      <c r="C115">
        <v>1.01302442</v>
      </c>
      <c r="D115">
        <f t="shared" si="2"/>
        <v>0.99847524333333337</v>
      </c>
      <c r="E115">
        <f t="shared" si="3"/>
        <v>0.81174111222222212</v>
      </c>
      <c r="F115">
        <f>Tabla1[[#This Row],[Cost]]-Tabla1[[#This Row],[Tendencia]]</f>
        <v>0.20128330777777792</v>
      </c>
      <c r="G115">
        <f>MONTH(Tabla1[[#This Row],[fecha]])</f>
        <v>12</v>
      </c>
      <c r="H115">
        <f ca="1">_xlfn.XLOOKUP(Tabla1[[#This Row],[Mes]],$L$2:$L$13,$M$2:$M$13)</f>
        <v>0.24521978491319479</v>
      </c>
      <c r="I115" s="2">
        <f ca="1">Tabla1[[#This Row],[Cost]]-Tabla1[[#This Row],[Tendencia]]-Tabla1[[#This Row],[Estacionalidad]]</f>
        <v>-4.3936477135416874E-2</v>
      </c>
    </row>
    <row r="116" spans="1:9" x14ac:dyDescent="0.25">
      <c r="A116" t="s">
        <v>117</v>
      </c>
      <c r="B116" s="1">
        <v>36892</v>
      </c>
      <c r="C116">
        <v>1.04380535</v>
      </c>
      <c r="D116">
        <f t="shared" si="2"/>
        <v>0.85582567333333337</v>
      </c>
      <c r="E116">
        <f t="shared" si="3"/>
        <v>0.81203812444444423</v>
      </c>
      <c r="F116">
        <f>Tabla1[[#This Row],[Cost]]-Tabla1[[#This Row],[Tendencia]]</f>
        <v>0.23176722555555573</v>
      </c>
      <c r="G116">
        <f>MONTH(Tabla1[[#This Row],[fecha]])</f>
        <v>1</v>
      </c>
      <c r="H116">
        <f ca="1">_xlfn.XLOOKUP(Tabla1[[#This Row],[Mes]],$L$2:$L$13,$M$2:$M$13)</f>
        <v>0.21042451446180468</v>
      </c>
      <c r="I116" s="2">
        <f ca="1">Tabla1[[#This Row],[Cost]]-Tabla1[[#This Row],[Tendencia]]-Tabla1[[#This Row],[Estacionalidad]]</f>
        <v>2.1342711093751049E-2</v>
      </c>
    </row>
    <row r="117" spans="1:9" x14ac:dyDescent="0.25">
      <c r="A117" t="s">
        <v>118</v>
      </c>
      <c r="B117" s="1">
        <v>36923</v>
      </c>
      <c r="C117">
        <v>0.51064725</v>
      </c>
      <c r="D117">
        <f t="shared" si="2"/>
        <v>0.74234053666666622</v>
      </c>
      <c r="E117">
        <f t="shared" si="3"/>
        <v>0.814259721111111</v>
      </c>
      <c r="F117">
        <f>Tabla1[[#This Row],[Cost]]-Tabla1[[#This Row],[Tendencia]]</f>
        <v>-0.303612471111111</v>
      </c>
      <c r="G117">
        <f>MONTH(Tabla1[[#This Row],[fecha]])</f>
        <v>2</v>
      </c>
      <c r="H117">
        <f ca="1">_xlfn.XLOOKUP(Tabla1[[#This Row],[Mes]],$L$2:$L$13,$M$2:$M$13)</f>
        <v>-0.24179140911458308</v>
      </c>
      <c r="I117" s="2">
        <f ca="1">Tabla1[[#This Row],[Cost]]-Tabla1[[#This Row],[Tendencia]]-Tabla1[[#This Row],[Estacionalidad]]</f>
        <v>-6.1821061996527926E-2</v>
      </c>
    </row>
    <row r="118" spans="1:9" x14ac:dyDescent="0.25">
      <c r="A118" t="s">
        <v>119</v>
      </c>
      <c r="B118" s="1">
        <v>36951</v>
      </c>
      <c r="C118">
        <v>0.67256900999999902</v>
      </c>
      <c r="D118">
        <f t="shared" si="2"/>
        <v>0.61056210666666633</v>
      </c>
      <c r="E118">
        <f t="shared" si="3"/>
        <v>0.81850384166666668</v>
      </c>
      <c r="F118">
        <f>Tabla1[[#This Row],[Cost]]-Tabla1[[#This Row],[Tendencia]]</f>
        <v>-0.14593483166666765</v>
      </c>
      <c r="G118">
        <f>MONTH(Tabla1[[#This Row],[fecha]])</f>
        <v>3</v>
      </c>
      <c r="H118">
        <f ca="1">_xlfn.XLOOKUP(Tabla1[[#This Row],[Mes]],$L$2:$L$13,$M$2:$M$13)</f>
        <v>-0.17478011918402764</v>
      </c>
      <c r="I118" s="2">
        <f ca="1">Tabla1[[#This Row],[Cost]]-Tabla1[[#This Row],[Tendencia]]-Tabla1[[#This Row],[Estacionalidad]]</f>
        <v>2.8845287517359985E-2</v>
      </c>
    </row>
    <row r="119" spans="1:9" x14ac:dyDescent="0.25">
      <c r="A119" t="s">
        <v>120</v>
      </c>
      <c r="B119" s="1">
        <v>36982</v>
      </c>
      <c r="C119">
        <v>0.64847005999999996</v>
      </c>
      <c r="D119">
        <f t="shared" si="2"/>
        <v>0.67505125333333293</v>
      </c>
      <c r="E119">
        <f t="shared" si="3"/>
        <v>0.82633888861111082</v>
      </c>
      <c r="F119">
        <f>Tabla1[[#This Row],[Cost]]-Tabla1[[#This Row],[Tendencia]]</f>
        <v>-0.17786882861111086</v>
      </c>
      <c r="G119">
        <f>MONTH(Tabla1[[#This Row],[fecha]])</f>
        <v>4</v>
      </c>
      <c r="H119">
        <f ca="1">_xlfn.XLOOKUP(Tabla1[[#This Row],[Mes]],$L$2:$L$13,$M$2:$M$13)</f>
        <v>-0.19176819232638881</v>
      </c>
      <c r="I119" s="2">
        <f ca="1">Tabla1[[#This Row],[Cost]]-Tabla1[[#This Row],[Tendencia]]-Tabla1[[#This Row],[Estacionalidad]]</f>
        <v>1.3899363715277946E-2</v>
      </c>
    </row>
    <row r="120" spans="1:9" x14ac:dyDescent="0.25">
      <c r="A120" t="s">
        <v>121</v>
      </c>
      <c r="B120" s="1">
        <v>37012</v>
      </c>
      <c r="C120">
        <v>0.70411469000000004</v>
      </c>
      <c r="D120">
        <f t="shared" si="2"/>
        <v>0.68400516666666666</v>
      </c>
      <c r="E120">
        <f t="shared" si="3"/>
        <v>0.83298207916666656</v>
      </c>
      <c r="F120">
        <f>Tabla1[[#This Row],[Cost]]-Tabla1[[#This Row],[Tendencia]]</f>
        <v>-0.12886738916666651</v>
      </c>
      <c r="G120">
        <f>MONTH(Tabla1[[#This Row],[fecha]])</f>
        <v>5</v>
      </c>
      <c r="H120">
        <f ca="1">_xlfn.XLOOKUP(Tabla1[[#This Row],[Mes]],$L$2:$L$13,$M$2:$M$13)</f>
        <v>-0.1367608961458332</v>
      </c>
      <c r="I120" s="2">
        <f ca="1">Tabla1[[#This Row],[Cost]]-Tabla1[[#This Row],[Tendencia]]-Tabla1[[#This Row],[Estacionalidad]]</f>
        <v>7.8935069791666868E-3</v>
      </c>
    </row>
    <row r="121" spans="1:9" x14ac:dyDescent="0.25">
      <c r="A121" t="s">
        <v>122</v>
      </c>
      <c r="B121" s="1">
        <v>37043</v>
      </c>
      <c r="C121">
        <v>0.69943074999999999</v>
      </c>
      <c r="D121">
        <f t="shared" si="2"/>
        <v>0.75182377</v>
      </c>
      <c r="E121">
        <f t="shared" si="3"/>
        <v>0.84054722722222219</v>
      </c>
      <c r="F121">
        <f>Tabla1[[#This Row],[Cost]]-Tabla1[[#This Row],[Tendencia]]</f>
        <v>-0.1411164772222222</v>
      </c>
      <c r="G121">
        <f>MONTH(Tabla1[[#This Row],[fecha]])</f>
        <v>6</v>
      </c>
      <c r="H121">
        <f ca="1">_xlfn.XLOOKUP(Tabla1[[#This Row],[Mes]],$L$2:$L$13,$M$2:$M$13)</f>
        <v>-9.9133701041666328E-2</v>
      </c>
      <c r="I121" s="2">
        <f ca="1">Tabla1[[#This Row],[Cost]]-Tabla1[[#This Row],[Tendencia]]-Tabla1[[#This Row],[Estacionalidad]]</f>
        <v>-4.1982776180555875E-2</v>
      </c>
    </row>
    <row r="122" spans="1:9" x14ac:dyDescent="0.25">
      <c r="A122" t="s">
        <v>123</v>
      </c>
      <c r="B122" s="1">
        <v>37073</v>
      </c>
      <c r="C122">
        <v>0.85192586999999997</v>
      </c>
      <c r="D122">
        <f t="shared" si="2"/>
        <v>0.81968727333333335</v>
      </c>
      <c r="E122">
        <f t="shared" si="3"/>
        <v>0.84516634388888878</v>
      </c>
      <c r="F122">
        <f>Tabla1[[#This Row],[Cost]]-Tabla1[[#This Row],[Tendencia]]</f>
        <v>6.7595261111111915E-3</v>
      </c>
      <c r="G122">
        <f>MONTH(Tabla1[[#This Row],[fecha]])</f>
        <v>7</v>
      </c>
      <c r="H122">
        <f ca="1">_xlfn.XLOOKUP(Tabla1[[#This Row],[Mes]],$L$2:$L$13,$M$2:$M$13)</f>
        <v>-1.1486355624999913E-2</v>
      </c>
      <c r="I122" s="2">
        <f ca="1">Tabla1[[#This Row],[Cost]]-Tabla1[[#This Row],[Tendencia]]-Tabla1[[#This Row],[Estacionalidad]]</f>
        <v>1.8245881736111105E-2</v>
      </c>
    </row>
    <row r="123" spans="1:9" x14ac:dyDescent="0.25">
      <c r="A123" t="s">
        <v>124</v>
      </c>
      <c r="B123" s="1">
        <v>37104</v>
      </c>
      <c r="C123">
        <v>0.90770519999999999</v>
      </c>
      <c r="D123">
        <f t="shared" si="2"/>
        <v>0.87569184666666666</v>
      </c>
      <c r="E123">
        <f t="shared" si="3"/>
        <v>0.84893287083333335</v>
      </c>
      <c r="F123">
        <f>Tabla1[[#This Row],[Cost]]-Tabla1[[#This Row],[Tendencia]]</f>
        <v>5.8772329166666637E-2</v>
      </c>
      <c r="G123">
        <f>MONTH(Tabla1[[#This Row],[fecha]])</f>
        <v>8</v>
      </c>
      <c r="H123">
        <f ca="1">_xlfn.XLOOKUP(Tabla1[[#This Row],[Mes]],$L$2:$L$13,$M$2:$M$13)</f>
        <v>3.9656656666666922E-2</v>
      </c>
      <c r="I123" s="2">
        <f ca="1">Tabla1[[#This Row],[Cost]]-Tabla1[[#This Row],[Tendencia]]-Tabla1[[#This Row],[Estacionalidad]]</f>
        <v>1.9115672499999715E-2</v>
      </c>
    </row>
    <row r="124" spans="1:9" x14ac:dyDescent="0.25">
      <c r="A124" t="s">
        <v>125</v>
      </c>
      <c r="B124" s="1">
        <v>37135</v>
      </c>
      <c r="C124">
        <v>0.86744447000000002</v>
      </c>
      <c r="D124">
        <f t="shared" si="2"/>
        <v>0.93314749333333324</v>
      </c>
      <c r="E124">
        <f t="shared" si="3"/>
        <v>0.85073633527777781</v>
      </c>
      <c r="F124">
        <f>Tabla1[[#This Row],[Cost]]-Tabla1[[#This Row],[Tendencia]]</f>
        <v>1.6708134722222212E-2</v>
      </c>
      <c r="G124">
        <f>MONTH(Tabla1[[#This Row],[fecha]])</f>
        <v>9</v>
      </c>
      <c r="H124">
        <f ca="1">_xlfn.XLOOKUP(Tabla1[[#This Row],[Mes]],$L$2:$L$13,$M$2:$M$13)</f>
        <v>8.483285409722191E-2</v>
      </c>
      <c r="I124" s="2">
        <f ca="1">Tabla1[[#This Row],[Cost]]-Tabla1[[#This Row],[Tendencia]]-Tabla1[[#This Row],[Estacionalidad]]</f>
        <v>-6.8124719374999698E-2</v>
      </c>
    </row>
    <row r="125" spans="1:9" x14ac:dyDescent="0.25">
      <c r="A125" t="s">
        <v>126</v>
      </c>
      <c r="B125" s="1">
        <v>37165</v>
      </c>
      <c r="C125">
        <v>1.0242928099999999</v>
      </c>
      <c r="D125">
        <f t="shared" si="2"/>
        <v>1.0004425000000001</v>
      </c>
      <c r="E125">
        <f t="shared" si="3"/>
        <v>0.85250887138888887</v>
      </c>
      <c r="F125">
        <f>Tabla1[[#This Row],[Cost]]-Tabla1[[#This Row],[Tendencia]]</f>
        <v>0.17178393861111108</v>
      </c>
      <c r="G125">
        <f>MONTH(Tabla1[[#This Row],[fecha]])</f>
        <v>10</v>
      </c>
      <c r="H125">
        <f ca="1">_xlfn.XLOOKUP(Tabla1[[#This Row],[Mes]],$L$2:$L$13,$M$2:$M$13)</f>
        <v>0.13080354874999911</v>
      </c>
      <c r="I125" s="2">
        <f ca="1">Tabla1[[#This Row],[Cost]]-Tabla1[[#This Row],[Tendencia]]-Tabla1[[#This Row],[Estacionalidad]]</f>
        <v>4.0980389861111965E-2</v>
      </c>
    </row>
    <row r="126" spans="1:9" x14ac:dyDescent="0.25">
      <c r="A126" t="s">
        <v>127</v>
      </c>
      <c r="B126" s="1">
        <v>37196</v>
      </c>
      <c r="C126">
        <v>1.1095902200000001</v>
      </c>
      <c r="D126">
        <f t="shared" si="2"/>
        <v>1.0487320866666667</v>
      </c>
      <c r="E126">
        <f t="shared" si="3"/>
        <v>0.85661667361111105</v>
      </c>
      <c r="F126">
        <f>Tabla1[[#This Row],[Cost]]-Tabla1[[#This Row],[Tendencia]]</f>
        <v>0.25297354638888903</v>
      </c>
      <c r="G126">
        <f>MONTH(Tabla1[[#This Row],[fecha]])</f>
        <v>11</v>
      </c>
      <c r="H126">
        <f ca="1">_xlfn.XLOOKUP(Tabla1[[#This Row],[Mes]],$L$2:$L$13,$M$2:$M$13)</f>
        <v>0.14577509868055594</v>
      </c>
      <c r="I126" s="2">
        <f ca="1">Tabla1[[#This Row],[Cost]]-Tabla1[[#This Row],[Tendencia]]-Tabla1[[#This Row],[Estacionalidad]]</f>
        <v>0.10719844770833309</v>
      </c>
    </row>
    <row r="127" spans="1:9" x14ac:dyDescent="0.25">
      <c r="A127" t="s">
        <v>128</v>
      </c>
      <c r="B127" s="1">
        <v>37226</v>
      </c>
      <c r="C127">
        <v>1.01231323</v>
      </c>
      <c r="D127">
        <f t="shared" si="2"/>
        <v>1.08925702</v>
      </c>
      <c r="E127">
        <f t="shared" si="3"/>
        <v>0.86168963444444435</v>
      </c>
      <c r="F127">
        <f>Tabla1[[#This Row],[Cost]]-Tabla1[[#This Row],[Tendencia]]</f>
        <v>0.1506235955555556</v>
      </c>
      <c r="G127">
        <f>MONTH(Tabla1[[#This Row],[fecha]])</f>
        <v>12</v>
      </c>
      <c r="H127">
        <f ca="1">_xlfn.XLOOKUP(Tabla1[[#This Row],[Mes]],$L$2:$L$13,$M$2:$M$13)</f>
        <v>0.24521978491319479</v>
      </c>
      <c r="I127" s="2">
        <f ca="1">Tabla1[[#This Row],[Cost]]-Tabla1[[#This Row],[Tendencia]]-Tabla1[[#This Row],[Estacionalidad]]</f>
        <v>-9.4596189357639193E-2</v>
      </c>
    </row>
    <row r="128" spans="1:9" x14ac:dyDescent="0.25">
      <c r="A128" t="s">
        <v>129</v>
      </c>
      <c r="B128" s="1">
        <v>37257</v>
      </c>
      <c r="C128">
        <v>1.14586761</v>
      </c>
      <c r="D128">
        <f t="shared" si="2"/>
        <v>0.91125507333333333</v>
      </c>
      <c r="E128">
        <f t="shared" si="3"/>
        <v>0.86545255694444412</v>
      </c>
      <c r="F128">
        <f>Tabla1[[#This Row],[Cost]]-Tabla1[[#This Row],[Tendencia]]</f>
        <v>0.28041505305555592</v>
      </c>
      <c r="G128">
        <f>MONTH(Tabla1[[#This Row],[fecha]])</f>
        <v>1</v>
      </c>
      <c r="H128">
        <f ca="1">_xlfn.XLOOKUP(Tabla1[[#This Row],[Mes]],$L$2:$L$13,$M$2:$M$13)</f>
        <v>0.21042451446180468</v>
      </c>
      <c r="I128" s="2">
        <f ca="1">Tabla1[[#This Row],[Cost]]-Tabla1[[#This Row],[Tendencia]]-Tabla1[[#This Row],[Estacionalidad]]</f>
        <v>6.9990538593751234E-2</v>
      </c>
    </row>
    <row r="129" spans="1:9" x14ac:dyDescent="0.25">
      <c r="A129" t="s">
        <v>130</v>
      </c>
      <c r="B129" s="1">
        <v>37288</v>
      </c>
      <c r="C129">
        <v>0.57558438000000001</v>
      </c>
      <c r="D129">
        <f t="shared" si="2"/>
        <v>0.78753886000000006</v>
      </c>
      <c r="E129">
        <f t="shared" si="3"/>
        <v>0.87180125833333266</v>
      </c>
      <c r="F129">
        <f>Tabla1[[#This Row],[Cost]]-Tabla1[[#This Row],[Tendencia]]</f>
        <v>-0.29621687833333266</v>
      </c>
      <c r="G129">
        <f>MONTH(Tabla1[[#This Row],[fecha]])</f>
        <v>2</v>
      </c>
      <c r="H129">
        <f ca="1">_xlfn.XLOOKUP(Tabla1[[#This Row],[Mes]],$L$2:$L$13,$M$2:$M$13)</f>
        <v>-0.24179140911458308</v>
      </c>
      <c r="I129" s="2">
        <f ca="1">Tabla1[[#This Row],[Cost]]-Tabla1[[#This Row],[Tendencia]]-Tabla1[[#This Row],[Estacionalidad]]</f>
        <v>-5.4425469218749578E-2</v>
      </c>
    </row>
    <row r="130" spans="1:9" x14ac:dyDescent="0.25">
      <c r="A130" t="s">
        <v>131</v>
      </c>
      <c r="B130" s="1">
        <v>37316</v>
      </c>
      <c r="C130">
        <v>0.64116459000000003</v>
      </c>
      <c r="D130">
        <f t="shared" ref="D130:D193" si="4">AVERAGE(C129:C131)</f>
        <v>0.63220368000000005</v>
      </c>
      <c r="E130">
        <f t="shared" si="3"/>
        <v>0.87638733638888822</v>
      </c>
      <c r="F130">
        <f>Tabla1[[#This Row],[Cost]]-Tabla1[[#This Row],[Tendencia]]</f>
        <v>-0.23522274638888818</v>
      </c>
      <c r="G130">
        <f>MONTH(Tabla1[[#This Row],[fecha]])</f>
        <v>3</v>
      </c>
      <c r="H130">
        <f ca="1">_xlfn.XLOOKUP(Tabla1[[#This Row],[Mes]],$L$2:$L$13,$M$2:$M$13)</f>
        <v>-0.17478011918402764</v>
      </c>
      <c r="I130" s="2">
        <f ca="1">Tabla1[[#This Row],[Cost]]-Tabla1[[#This Row],[Tendencia]]-Tabla1[[#This Row],[Estacionalidad]]</f>
        <v>-6.0442627204860544E-2</v>
      </c>
    </row>
    <row r="131" spans="1:9" x14ac:dyDescent="0.25">
      <c r="A131" t="s">
        <v>132</v>
      </c>
      <c r="B131" s="1">
        <v>37347</v>
      </c>
      <c r="C131">
        <v>0.67986206999999999</v>
      </c>
      <c r="D131">
        <f t="shared" si="4"/>
        <v>0.69632168666666638</v>
      </c>
      <c r="E131">
        <f t="shared" si="3"/>
        <v>0.87765517611110999</v>
      </c>
      <c r="F131">
        <f>Tabla1[[#This Row],[Cost]]-Tabla1[[#This Row],[Tendencia]]</f>
        <v>-0.19779310611111001</v>
      </c>
      <c r="G131">
        <f>MONTH(Tabla1[[#This Row],[fecha]])</f>
        <v>4</v>
      </c>
      <c r="H131">
        <f ca="1">_xlfn.XLOOKUP(Tabla1[[#This Row],[Mes]],$L$2:$L$13,$M$2:$M$13)</f>
        <v>-0.19176819232638881</v>
      </c>
      <c r="I131" s="2">
        <f ca="1">Tabla1[[#This Row],[Cost]]-Tabla1[[#This Row],[Tendencia]]-Tabla1[[#This Row],[Estacionalidad]]</f>
        <v>-6.0249137847211975E-3</v>
      </c>
    </row>
    <row r="132" spans="1:9" x14ac:dyDescent="0.25">
      <c r="A132" t="s">
        <v>133</v>
      </c>
      <c r="B132" s="1">
        <v>37377</v>
      </c>
      <c r="C132">
        <v>0.76793839999999902</v>
      </c>
      <c r="D132">
        <f t="shared" si="4"/>
        <v>0.73329879333333292</v>
      </c>
      <c r="E132">
        <f t="shared" si="3"/>
        <v>0.87738716166666553</v>
      </c>
      <c r="F132">
        <f>Tabla1[[#This Row],[Cost]]-Tabla1[[#This Row],[Tendencia]]</f>
        <v>-0.10944876166666651</v>
      </c>
      <c r="G132">
        <f>MONTH(Tabla1[[#This Row],[fecha]])</f>
        <v>5</v>
      </c>
      <c r="H132">
        <f ca="1">_xlfn.XLOOKUP(Tabla1[[#This Row],[Mes]],$L$2:$L$13,$M$2:$M$13)</f>
        <v>-0.1367608961458332</v>
      </c>
      <c r="I132" s="2">
        <f ca="1">Tabla1[[#This Row],[Cost]]-Tabla1[[#This Row],[Tendencia]]-Tabla1[[#This Row],[Estacionalidad]]</f>
        <v>2.7312134479166694E-2</v>
      </c>
    </row>
    <row r="133" spans="1:9" x14ac:dyDescent="0.25">
      <c r="A133" t="s">
        <v>134</v>
      </c>
      <c r="B133" s="1">
        <v>37408</v>
      </c>
      <c r="C133">
        <v>0.75209590999999998</v>
      </c>
      <c r="D133">
        <f t="shared" si="4"/>
        <v>0.81269929999999935</v>
      </c>
      <c r="E133">
        <f t="shared" si="3"/>
        <v>0.87516342444444317</v>
      </c>
      <c r="F133">
        <f>Tabla1[[#This Row],[Cost]]-Tabla1[[#This Row],[Tendencia]]</f>
        <v>-0.12306751444444319</v>
      </c>
      <c r="G133">
        <f>MONTH(Tabla1[[#This Row],[fecha]])</f>
        <v>6</v>
      </c>
      <c r="H133">
        <f ca="1">_xlfn.XLOOKUP(Tabla1[[#This Row],[Mes]],$L$2:$L$13,$M$2:$M$13)</f>
        <v>-9.9133701041666328E-2</v>
      </c>
      <c r="I133" s="2">
        <f ca="1">Tabla1[[#This Row],[Cost]]-Tabla1[[#This Row],[Tendencia]]-Tabla1[[#This Row],[Estacionalidad]]</f>
        <v>-2.3933813402776866E-2</v>
      </c>
    </row>
    <row r="134" spans="1:9" x14ac:dyDescent="0.25">
      <c r="A134" t="s">
        <v>135</v>
      </c>
      <c r="B134" s="1">
        <v>37438</v>
      </c>
      <c r="C134">
        <v>0.91806358999999904</v>
      </c>
      <c r="D134">
        <f t="shared" si="4"/>
        <v>0.8648423433333331</v>
      </c>
      <c r="E134">
        <f t="shared" si="3"/>
        <v>0.87587041111110953</v>
      </c>
      <c r="F134">
        <f>Tabla1[[#This Row],[Cost]]-Tabla1[[#This Row],[Tendencia]]</f>
        <v>4.2193178888889515E-2</v>
      </c>
      <c r="G134">
        <f>MONTH(Tabla1[[#This Row],[fecha]])</f>
        <v>7</v>
      </c>
      <c r="H134">
        <f ca="1">_xlfn.XLOOKUP(Tabla1[[#This Row],[Mes]],$L$2:$L$13,$M$2:$M$13)</f>
        <v>-1.1486355624999913E-2</v>
      </c>
      <c r="I134" s="2">
        <f ca="1">Tabla1[[#This Row],[Cost]]-Tabla1[[#This Row],[Tendencia]]-Tabla1[[#This Row],[Estacionalidad]]</f>
        <v>5.3679534513889432E-2</v>
      </c>
    </row>
    <row r="135" spans="1:9" x14ac:dyDescent="0.25">
      <c r="A135" t="s">
        <v>136</v>
      </c>
      <c r="B135" s="1">
        <v>37469</v>
      </c>
      <c r="C135">
        <v>0.92436753000000005</v>
      </c>
      <c r="D135">
        <f t="shared" si="4"/>
        <v>0.95187626333332975</v>
      </c>
      <c r="E135">
        <f t="shared" si="3"/>
        <v>0.87412479444444269</v>
      </c>
      <c r="F135">
        <f>Tabla1[[#This Row],[Cost]]-Tabla1[[#This Row],[Tendencia]]</f>
        <v>5.0242735555557361E-2</v>
      </c>
      <c r="G135">
        <f>MONTH(Tabla1[[#This Row],[fecha]])</f>
        <v>8</v>
      </c>
      <c r="H135">
        <f ca="1">_xlfn.XLOOKUP(Tabla1[[#This Row],[Mes]],$L$2:$L$13,$M$2:$M$13)</f>
        <v>3.9656656666666922E-2</v>
      </c>
      <c r="I135" s="2">
        <f ca="1">Tabla1[[#This Row],[Cost]]-Tabla1[[#This Row],[Tendencia]]-Tabla1[[#This Row],[Estacionalidad]]</f>
        <v>1.0586078888890439E-2</v>
      </c>
    </row>
    <row r="136" spans="1:9" x14ac:dyDescent="0.25">
      <c r="A136" t="s">
        <v>137</v>
      </c>
      <c r="B136" s="1">
        <v>37500</v>
      </c>
      <c r="C136">
        <v>1.0131976699999901</v>
      </c>
      <c r="D136">
        <f t="shared" si="4"/>
        <v>0.98818042999999667</v>
      </c>
      <c r="E136">
        <f t="shared" si="3"/>
        <v>0.87380217833333163</v>
      </c>
      <c r="F136">
        <f>Tabla1[[#This Row],[Cost]]-Tabla1[[#This Row],[Tendencia]]</f>
        <v>0.13939549166665843</v>
      </c>
      <c r="G136">
        <f>MONTH(Tabla1[[#This Row],[fecha]])</f>
        <v>9</v>
      </c>
      <c r="H136">
        <f ca="1">_xlfn.XLOOKUP(Tabla1[[#This Row],[Mes]],$L$2:$L$13,$M$2:$M$13)</f>
        <v>8.483285409722191E-2</v>
      </c>
      <c r="I136" s="2">
        <f ca="1">Tabla1[[#This Row],[Cost]]-Tabla1[[#This Row],[Tendencia]]-Tabla1[[#This Row],[Estacionalidad]]</f>
        <v>5.4562637569436523E-2</v>
      </c>
    </row>
    <row r="137" spans="1:9" x14ac:dyDescent="0.25">
      <c r="A137" t="s">
        <v>138</v>
      </c>
      <c r="B137" s="1">
        <v>37530</v>
      </c>
      <c r="C137">
        <v>1.02697609</v>
      </c>
      <c r="D137">
        <f t="shared" si="4"/>
        <v>1.0156565766666634</v>
      </c>
      <c r="E137">
        <f t="shared" ref="E137:E198" si="5">AVERAGE(D132:D143)</f>
        <v>0.87292027861110932</v>
      </c>
      <c r="F137">
        <f>Tabla1[[#This Row],[Cost]]-Tabla1[[#This Row],[Tendencia]]</f>
        <v>0.15405581138889068</v>
      </c>
      <c r="G137">
        <f>MONTH(Tabla1[[#This Row],[fecha]])</f>
        <v>10</v>
      </c>
      <c r="H137">
        <f ca="1">_xlfn.XLOOKUP(Tabla1[[#This Row],[Mes]],$L$2:$L$13,$M$2:$M$13)</f>
        <v>0.13080354874999911</v>
      </c>
      <c r="I137" s="2">
        <f ca="1">Tabla1[[#This Row],[Cost]]-Tabla1[[#This Row],[Tendencia]]-Tabla1[[#This Row],[Estacionalidad]]</f>
        <v>2.3252262638891574E-2</v>
      </c>
    </row>
    <row r="138" spans="1:9" x14ac:dyDescent="0.25">
      <c r="A138" t="s">
        <v>139</v>
      </c>
      <c r="B138" s="1">
        <v>37561</v>
      </c>
      <c r="C138">
        <v>1.00679597</v>
      </c>
      <c r="D138">
        <f t="shared" si="4"/>
        <v>1.0455159133333334</v>
      </c>
      <c r="E138">
        <f t="shared" si="5"/>
        <v>0.8733295177777759</v>
      </c>
      <c r="F138">
        <f>Tabla1[[#This Row],[Cost]]-Tabla1[[#This Row],[Tendencia]]</f>
        <v>0.13346645222222409</v>
      </c>
      <c r="G138">
        <f>MONTH(Tabla1[[#This Row],[fecha]])</f>
        <v>11</v>
      </c>
      <c r="H138">
        <f ca="1">_xlfn.XLOOKUP(Tabla1[[#This Row],[Mes]],$L$2:$L$13,$M$2:$M$13)</f>
        <v>0.14577509868055594</v>
      </c>
      <c r="I138" s="2">
        <f ca="1">Tabla1[[#This Row],[Cost]]-Tabla1[[#This Row],[Tendencia]]-Tabla1[[#This Row],[Estacionalidad]]</f>
        <v>-1.2308646458331851E-2</v>
      </c>
    </row>
    <row r="139" spans="1:9" x14ac:dyDescent="0.25">
      <c r="A139" t="s">
        <v>140</v>
      </c>
      <c r="B139" s="1">
        <v>37591</v>
      </c>
      <c r="C139">
        <v>1.1027756799999999</v>
      </c>
      <c r="D139">
        <f t="shared" si="4"/>
        <v>1.06257217333333</v>
      </c>
      <c r="E139">
        <f t="shared" si="5"/>
        <v>0.87414965027777602</v>
      </c>
      <c r="F139">
        <f>Tabla1[[#This Row],[Cost]]-Tabla1[[#This Row],[Tendencia]]</f>
        <v>0.2286260297222239</v>
      </c>
      <c r="G139">
        <f>MONTH(Tabla1[[#This Row],[fecha]])</f>
        <v>12</v>
      </c>
      <c r="H139">
        <f ca="1">_xlfn.XLOOKUP(Tabla1[[#This Row],[Mes]],$L$2:$L$13,$M$2:$M$13)</f>
        <v>0.24521978491319479</v>
      </c>
      <c r="I139" s="2">
        <f ca="1">Tabla1[[#This Row],[Cost]]-Tabla1[[#This Row],[Tendencia]]-Tabla1[[#This Row],[Estacionalidad]]</f>
        <v>-1.6593755190970894E-2</v>
      </c>
    </row>
    <row r="140" spans="1:9" x14ac:dyDescent="0.25">
      <c r="A140" t="s">
        <v>141</v>
      </c>
      <c r="B140" s="1">
        <v>37622</v>
      </c>
      <c r="C140">
        <v>1.07814486999999</v>
      </c>
      <c r="D140">
        <f t="shared" si="4"/>
        <v>0.91973891333333002</v>
      </c>
      <c r="E140">
        <f t="shared" si="5"/>
        <v>0.87524594083333163</v>
      </c>
      <c r="F140">
        <f>Tabla1[[#This Row],[Cost]]-Tabla1[[#This Row],[Tendencia]]</f>
        <v>0.20289892916665841</v>
      </c>
      <c r="G140">
        <f>MONTH(Tabla1[[#This Row],[fecha]])</f>
        <v>1</v>
      </c>
      <c r="H140">
        <f ca="1">_xlfn.XLOOKUP(Tabla1[[#This Row],[Mes]],$L$2:$L$13,$M$2:$M$13)</f>
        <v>0.21042451446180468</v>
      </c>
      <c r="I140" s="2">
        <f ca="1">Tabla1[[#This Row],[Cost]]-Tabla1[[#This Row],[Tendencia]]-Tabla1[[#This Row],[Estacionalidad]]</f>
        <v>-7.5255852951462698E-3</v>
      </c>
    </row>
    <row r="141" spans="1:9" x14ac:dyDescent="0.25">
      <c r="A141" t="s">
        <v>142</v>
      </c>
      <c r="B141" s="1">
        <v>37653</v>
      </c>
      <c r="C141">
        <v>0.57829618999999999</v>
      </c>
      <c r="D141">
        <f t="shared" si="4"/>
        <v>0.76659145999999667</v>
      </c>
      <c r="E141">
        <f t="shared" si="5"/>
        <v>0.87697588499999857</v>
      </c>
      <c r="F141">
        <f>Tabla1[[#This Row],[Cost]]-Tabla1[[#This Row],[Tendencia]]</f>
        <v>-0.29867969499999858</v>
      </c>
      <c r="G141">
        <f>MONTH(Tabla1[[#This Row],[fecha]])</f>
        <v>2</v>
      </c>
      <c r="H141">
        <f ca="1">_xlfn.XLOOKUP(Tabla1[[#This Row],[Mes]],$L$2:$L$13,$M$2:$M$13)</f>
        <v>-0.24179140911458308</v>
      </c>
      <c r="I141" s="2">
        <f ca="1">Tabla1[[#This Row],[Cost]]-Tabla1[[#This Row],[Tendencia]]-Tabla1[[#This Row],[Estacionalidad]]</f>
        <v>-5.6888285885415502E-2</v>
      </c>
    </row>
    <row r="142" spans="1:9" x14ac:dyDescent="0.25">
      <c r="A142" t="s">
        <v>143</v>
      </c>
      <c r="B142" s="1">
        <v>37681</v>
      </c>
      <c r="C142">
        <v>0.64333331999999999</v>
      </c>
      <c r="D142">
        <f t="shared" si="4"/>
        <v>0.62833228666666674</v>
      </c>
      <c r="E142">
        <f t="shared" si="5"/>
        <v>0.88218845944444313</v>
      </c>
      <c r="F142">
        <f>Tabla1[[#This Row],[Cost]]-Tabla1[[#This Row],[Tendencia]]</f>
        <v>-0.23885513944444314</v>
      </c>
      <c r="G142">
        <f>MONTH(Tabla1[[#This Row],[fecha]])</f>
        <v>3</v>
      </c>
      <c r="H142">
        <f ca="1">_xlfn.XLOOKUP(Tabla1[[#This Row],[Mes]],$L$2:$L$13,$M$2:$M$13)</f>
        <v>-0.17478011918402764</v>
      </c>
      <c r="I142" s="2">
        <f ca="1">Tabla1[[#This Row],[Cost]]-Tabla1[[#This Row],[Tendencia]]-Tabla1[[#This Row],[Estacionalidad]]</f>
        <v>-6.4075020260415505E-2</v>
      </c>
    </row>
    <row r="143" spans="1:9" x14ac:dyDescent="0.25">
      <c r="A143" t="s">
        <v>144</v>
      </c>
      <c r="B143" s="1">
        <v>37712</v>
      </c>
      <c r="C143">
        <v>0.66336735000000002</v>
      </c>
      <c r="D143">
        <f t="shared" si="4"/>
        <v>0.68573888999999999</v>
      </c>
      <c r="E143">
        <f t="shared" si="5"/>
        <v>0.88883222694444319</v>
      </c>
      <c r="F143">
        <f>Tabla1[[#This Row],[Cost]]-Tabla1[[#This Row],[Tendencia]]</f>
        <v>-0.22546487694444317</v>
      </c>
      <c r="G143">
        <f>MONTH(Tabla1[[#This Row],[fecha]])</f>
        <v>4</v>
      </c>
      <c r="H143">
        <f ca="1">_xlfn.XLOOKUP(Tabla1[[#This Row],[Mes]],$L$2:$L$13,$M$2:$M$13)</f>
        <v>-0.19176819232638881</v>
      </c>
      <c r="I143" s="2">
        <f ca="1">Tabla1[[#This Row],[Cost]]-Tabla1[[#This Row],[Tendencia]]-Tabla1[[#This Row],[Estacionalidad]]</f>
        <v>-3.3696684618054362E-2</v>
      </c>
    </row>
    <row r="144" spans="1:9" x14ac:dyDescent="0.25">
      <c r="A144" t="s">
        <v>145</v>
      </c>
      <c r="B144" s="1">
        <v>37742</v>
      </c>
      <c r="C144">
        <v>0.75051599999999996</v>
      </c>
      <c r="D144">
        <f t="shared" si="4"/>
        <v>0.73820966333333338</v>
      </c>
      <c r="E144">
        <f t="shared" si="5"/>
        <v>0.89683703888888733</v>
      </c>
      <c r="F144">
        <f>Tabla1[[#This Row],[Cost]]-Tabla1[[#This Row],[Tendencia]]</f>
        <v>-0.14632103888888737</v>
      </c>
      <c r="G144">
        <f>MONTH(Tabla1[[#This Row],[fecha]])</f>
        <v>5</v>
      </c>
      <c r="H144">
        <f ca="1">_xlfn.XLOOKUP(Tabla1[[#This Row],[Mes]],$L$2:$L$13,$M$2:$M$13)</f>
        <v>-0.1367608961458332</v>
      </c>
      <c r="I144" s="2">
        <f ca="1">Tabla1[[#This Row],[Cost]]-Tabla1[[#This Row],[Tendencia]]-Tabla1[[#This Row],[Estacionalidad]]</f>
        <v>-9.5601427430541674E-3</v>
      </c>
    </row>
    <row r="145" spans="1:9" x14ac:dyDescent="0.25">
      <c r="A145" t="s">
        <v>146</v>
      </c>
      <c r="B145" s="1">
        <v>37773</v>
      </c>
      <c r="C145">
        <v>0.80074564000000004</v>
      </c>
      <c r="D145">
        <f t="shared" si="4"/>
        <v>0.82254088999999997</v>
      </c>
      <c r="E145">
        <f t="shared" si="5"/>
        <v>0.90285041222222062</v>
      </c>
      <c r="F145">
        <f>Tabla1[[#This Row],[Cost]]-Tabla1[[#This Row],[Tendencia]]</f>
        <v>-0.10210477222222059</v>
      </c>
      <c r="G145">
        <f>MONTH(Tabla1[[#This Row],[fecha]])</f>
        <v>6</v>
      </c>
      <c r="H145">
        <f ca="1">_xlfn.XLOOKUP(Tabla1[[#This Row],[Mes]],$L$2:$L$13,$M$2:$M$13)</f>
        <v>-9.9133701041666328E-2</v>
      </c>
      <c r="I145" s="2">
        <f ca="1">Tabla1[[#This Row],[Cost]]-Tabla1[[#This Row],[Tendencia]]-Tabla1[[#This Row],[Estacionalidad]]</f>
        <v>-2.9710711805542578E-3</v>
      </c>
    </row>
    <row r="146" spans="1:9" x14ac:dyDescent="0.25">
      <c r="A146" t="s">
        <v>147</v>
      </c>
      <c r="B146" s="1">
        <v>37803</v>
      </c>
      <c r="C146">
        <v>0.91636103000000002</v>
      </c>
      <c r="D146">
        <f t="shared" si="4"/>
        <v>0.87799782999999998</v>
      </c>
      <c r="E146">
        <f t="shared" si="5"/>
        <v>0.91013184777777612</v>
      </c>
      <c r="F146">
        <f>Tabla1[[#This Row],[Cost]]-Tabla1[[#This Row],[Tendencia]]</f>
        <v>6.2291822222239057E-3</v>
      </c>
      <c r="G146">
        <f>MONTH(Tabla1[[#This Row],[fecha]])</f>
        <v>7</v>
      </c>
      <c r="H146">
        <f ca="1">_xlfn.XLOOKUP(Tabla1[[#This Row],[Mes]],$L$2:$L$13,$M$2:$M$13)</f>
        <v>-1.1486355624999913E-2</v>
      </c>
      <c r="I146" s="2">
        <f ca="1">Tabla1[[#This Row],[Cost]]-Tabla1[[#This Row],[Tendencia]]-Tabla1[[#This Row],[Estacionalidad]]</f>
        <v>1.7715537847223819E-2</v>
      </c>
    </row>
    <row r="147" spans="1:9" x14ac:dyDescent="0.25">
      <c r="A147" t="s">
        <v>148</v>
      </c>
      <c r="B147" s="1">
        <v>37834</v>
      </c>
      <c r="C147">
        <v>0.91688681999999999</v>
      </c>
      <c r="D147">
        <f t="shared" si="4"/>
        <v>0.97263559333333338</v>
      </c>
      <c r="E147">
        <f t="shared" si="5"/>
        <v>0.91700278611110952</v>
      </c>
      <c r="F147">
        <f>Tabla1[[#This Row],[Cost]]-Tabla1[[#This Row],[Tendencia]]</f>
        <v>-1.1596611110953337E-4</v>
      </c>
      <c r="G147">
        <f>MONTH(Tabla1[[#This Row],[fecha]])</f>
        <v>8</v>
      </c>
      <c r="H147">
        <f ca="1">_xlfn.XLOOKUP(Tabla1[[#This Row],[Mes]],$L$2:$L$13,$M$2:$M$13)</f>
        <v>3.9656656666666922E-2</v>
      </c>
      <c r="I147" s="2">
        <f ca="1">Tabla1[[#This Row],[Cost]]-Tabla1[[#This Row],[Tendencia]]-Tabla1[[#This Row],[Estacionalidad]]</f>
        <v>-3.9772622777776455E-2</v>
      </c>
    </row>
    <row r="148" spans="1:9" x14ac:dyDescent="0.25">
      <c r="A148" t="s">
        <v>149</v>
      </c>
      <c r="B148" s="1">
        <v>37865</v>
      </c>
      <c r="C148">
        <v>1.08465893</v>
      </c>
      <c r="D148">
        <f t="shared" si="4"/>
        <v>1.05073132333333</v>
      </c>
      <c r="E148">
        <f t="shared" si="5"/>
        <v>0.92455812249999825</v>
      </c>
      <c r="F148">
        <f>Tabla1[[#This Row],[Cost]]-Tabla1[[#This Row],[Tendencia]]</f>
        <v>0.16010080750000177</v>
      </c>
      <c r="G148">
        <f>MONTH(Tabla1[[#This Row],[fecha]])</f>
        <v>9</v>
      </c>
      <c r="H148">
        <f ca="1">_xlfn.XLOOKUP(Tabla1[[#This Row],[Mes]],$L$2:$L$13,$M$2:$M$13)</f>
        <v>8.483285409722191E-2</v>
      </c>
      <c r="I148" s="2">
        <f ca="1">Tabla1[[#This Row],[Cost]]-Tabla1[[#This Row],[Tendencia]]-Tabla1[[#This Row],[Estacionalidad]]</f>
        <v>7.5267953402779864E-2</v>
      </c>
    </row>
    <row r="149" spans="1:9" x14ac:dyDescent="0.25">
      <c r="A149" t="s">
        <v>150</v>
      </c>
      <c r="B149" s="1">
        <v>37895</v>
      </c>
      <c r="C149">
        <v>1.1506482199999899</v>
      </c>
      <c r="D149">
        <f t="shared" si="4"/>
        <v>1.0953817866666633</v>
      </c>
      <c r="E149">
        <f t="shared" si="5"/>
        <v>0.93086124083333155</v>
      </c>
      <c r="F149">
        <f>Tabla1[[#This Row],[Cost]]-Tabla1[[#This Row],[Tendencia]]</f>
        <v>0.21978697916665835</v>
      </c>
      <c r="G149">
        <f>MONTH(Tabla1[[#This Row],[fecha]])</f>
        <v>10</v>
      </c>
      <c r="H149">
        <f ca="1">_xlfn.XLOOKUP(Tabla1[[#This Row],[Mes]],$L$2:$L$13,$M$2:$M$13)</f>
        <v>0.13080354874999911</v>
      </c>
      <c r="I149" s="2">
        <f ca="1">Tabla1[[#This Row],[Cost]]-Tabla1[[#This Row],[Tendencia]]-Tabla1[[#This Row],[Estacionalidad]]</f>
        <v>8.8983430416659237E-2</v>
      </c>
    </row>
    <row r="150" spans="1:9" x14ac:dyDescent="0.25">
      <c r="A150" t="s">
        <v>151</v>
      </c>
      <c r="B150" s="1">
        <v>37926</v>
      </c>
      <c r="C150">
        <v>1.05083821</v>
      </c>
      <c r="D150">
        <f t="shared" si="4"/>
        <v>1.1415736566666632</v>
      </c>
      <c r="E150">
        <f t="shared" si="5"/>
        <v>0.93578592083333156</v>
      </c>
      <c r="F150">
        <f>Tabla1[[#This Row],[Cost]]-Tabla1[[#This Row],[Tendencia]]</f>
        <v>0.11505228916666843</v>
      </c>
      <c r="G150">
        <f>MONTH(Tabla1[[#This Row],[fecha]])</f>
        <v>11</v>
      </c>
      <c r="H150">
        <f ca="1">_xlfn.XLOOKUP(Tabla1[[#This Row],[Mes]],$L$2:$L$13,$M$2:$M$13)</f>
        <v>0.14577509868055594</v>
      </c>
      <c r="I150" s="2">
        <f ca="1">Tabla1[[#This Row],[Cost]]-Tabla1[[#This Row],[Tendencia]]-Tabla1[[#This Row],[Estacionalidad]]</f>
        <v>-3.0722809513887506E-2</v>
      </c>
    </row>
    <row r="151" spans="1:9" x14ac:dyDescent="0.25">
      <c r="A151" t="s">
        <v>152</v>
      </c>
      <c r="B151" s="1">
        <v>37956</v>
      </c>
      <c r="C151">
        <v>1.22323454</v>
      </c>
      <c r="D151">
        <f t="shared" si="4"/>
        <v>1.1347326533333302</v>
      </c>
      <c r="E151">
        <f t="shared" si="5"/>
        <v>0.94094986388888702</v>
      </c>
      <c r="F151">
        <f>Tabla1[[#This Row],[Cost]]-Tabla1[[#This Row],[Tendencia]]</f>
        <v>0.28228467611111296</v>
      </c>
      <c r="G151">
        <f>MONTH(Tabla1[[#This Row],[fecha]])</f>
        <v>12</v>
      </c>
      <c r="H151">
        <f ca="1">_xlfn.XLOOKUP(Tabla1[[#This Row],[Mes]],$L$2:$L$13,$M$2:$M$13)</f>
        <v>0.24521978491319479</v>
      </c>
      <c r="I151" s="2">
        <f ca="1">Tabla1[[#This Row],[Cost]]-Tabla1[[#This Row],[Tendencia]]-Tabla1[[#This Row],[Estacionalidad]]</f>
        <v>3.7064891197918171E-2</v>
      </c>
    </row>
    <row r="152" spans="1:9" x14ac:dyDescent="0.25">
      <c r="A152" t="s">
        <v>153</v>
      </c>
      <c r="B152" s="1">
        <v>37987</v>
      </c>
      <c r="C152">
        <v>1.1301252099999901</v>
      </c>
      <c r="D152">
        <f t="shared" si="4"/>
        <v>1.0071161399999966</v>
      </c>
      <c r="E152">
        <f t="shared" si="5"/>
        <v>0.94704060916666499</v>
      </c>
      <c r="F152">
        <f>Tabla1[[#This Row],[Cost]]-Tabla1[[#This Row],[Tendencia]]</f>
        <v>0.18308460083332512</v>
      </c>
      <c r="G152">
        <f>MONTH(Tabla1[[#This Row],[fecha]])</f>
        <v>1</v>
      </c>
      <c r="H152">
        <f ca="1">_xlfn.XLOOKUP(Tabla1[[#This Row],[Mes]],$L$2:$L$13,$M$2:$M$13)</f>
        <v>0.21042451446180468</v>
      </c>
      <c r="I152" s="2">
        <f ca="1">Tabla1[[#This Row],[Cost]]-Tabla1[[#This Row],[Tendencia]]-Tabla1[[#This Row],[Estacionalidad]]</f>
        <v>-2.7339913628479567E-2</v>
      </c>
    </row>
    <row r="153" spans="1:9" x14ac:dyDescent="0.25">
      <c r="A153" t="s">
        <v>154</v>
      </c>
      <c r="B153" s="1">
        <v>38018</v>
      </c>
      <c r="C153">
        <v>0.66798866999999995</v>
      </c>
      <c r="D153">
        <f t="shared" si="4"/>
        <v>0.84904271999999636</v>
      </c>
      <c r="E153">
        <f t="shared" si="5"/>
        <v>0.95295679583333159</v>
      </c>
      <c r="F153">
        <f>Tabla1[[#This Row],[Cost]]-Tabla1[[#This Row],[Tendencia]]</f>
        <v>-0.28496812583333164</v>
      </c>
      <c r="G153">
        <f>MONTH(Tabla1[[#This Row],[fecha]])</f>
        <v>2</v>
      </c>
      <c r="H153">
        <f ca="1">_xlfn.XLOOKUP(Tabla1[[#This Row],[Mes]],$L$2:$L$13,$M$2:$M$13)</f>
        <v>-0.24179140911458308</v>
      </c>
      <c r="I153" s="2">
        <f ca="1">Tabla1[[#This Row],[Cost]]-Tabla1[[#This Row],[Tendencia]]-Tabla1[[#This Row],[Estacionalidad]]</f>
        <v>-4.3176716718748565E-2</v>
      </c>
    </row>
    <row r="154" spans="1:9" x14ac:dyDescent="0.25">
      <c r="A154" t="s">
        <v>155</v>
      </c>
      <c r="B154" s="1">
        <v>38047</v>
      </c>
      <c r="C154">
        <v>0.74901427999999903</v>
      </c>
      <c r="D154">
        <f t="shared" si="4"/>
        <v>0.71899632333333308</v>
      </c>
      <c r="E154">
        <f t="shared" si="5"/>
        <v>0.95734883361110967</v>
      </c>
      <c r="F154">
        <f>Tabla1[[#This Row],[Cost]]-Tabla1[[#This Row],[Tendencia]]</f>
        <v>-0.20833455361111064</v>
      </c>
      <c r="G154">
        <f>MONTH(Tabla1[[#This Row],[fecha]])</f>
        <v>3</v>
      </c>
      <c r="H154">
        <f ca="1">_xlfn.XLOOKUP(Tabla1[[#This Row],[Mes]],$L$2:$L$13,$M$2:$M$13)</f>
        <v>-0.17478011918402764</v>
      </c>
      <c r="I154" s="2">
        <f ca="1">Tabla1[[#This Row],[Cost]]-Tabla1[[#This Row],[Tendencia]]-Tabla1[[#This Row],[Estacionalidad]]</f>
        <v>-3.3554434427083002E-2</v>
      </c>
    </row>
    <row r="155" spans="1:9" x14ac:dyDescent="0.25">
      <c r="A155" t="s">
        <v>156</v>
      </c>
      <c r="B155" s="1">
        <v>38078</v>
      </c>
      <c r="C155">
        <v>0.73998602000000002</v>
      </c>
      <c r="D155">
        <f t="shared" si="4"/>
        <v>0.76137630999999961</v>
      </c>
      <c r="E155">
        <f t="shared" si="5"/>
        <v>0.96416368472222114</v>
      </c>
      <c r="F155">
        <f>Tabla1[[#This Row],[Cost]]-Tabla1[[#This Row],[Tendencia]]</f>
        <v>-0.22417766472222111</v>
      </c>
      <c r="G155">
        <f>MONTH(Tabla1[[#This Row],[fecha]])</f>
        <v>4</v>
      </c>
      <c r="H155">
        <f ca="1">_xlfn.XLOOKUP(Tabla1[[#This Row],[Mes]],$L$2:$L$13,$M$2:$M$13)</f>
        <v>-0.19176819232638881</v>
      </c>
      <c r="I155" s="2">
        <f ca="1">Tabla1[[#This Row],[Cost]]-Tabla1[[#This Row],[Tendencia]]-Tabla1[[#This Row],[Estacionalidad]]</f>
        <v>-3.2409472395832306E-2</v>
      </c>
    </row>
    <row r="156" spans="1:9" x14ac:dyDescent="0.25">
      <c r="A156" t="s">
        <v>157</v>
      </c>
      <c r="B156" s="1">
        <v>38108</v>
      </c>
      <c r="C156">
        <v>0.79512863</v>
      </c>
      <c r="D156">
        <f t="shared" si="4"/>
        <v>0.79730582333333333</v>
      </c>
      <c r="E156">
        <f t="shared" si="5"/>
        <v>0.97054049111111029</v>
      </c>
      <c r="F156">
        <f>Tabla1[[#This Row],[Cost]]-Tabla1[[#This Row],[Tendencia]]</f>
        <v>-0.17541186111111029</v>
      </c>
      <c r="G156">
        <f>MONTH(Tabla1[[#This Row],[fecha]])</f>
        <v>5</v>
      </c>
      <c r="H156">
        <f ca="1">_xlfn.XLOOKUP(Tabla1[[#This Row],[Mes]],$L$2:$L$13,$M$2:$M$13)</f>
        <v>-0.1367608961458332</v>
      </c>
      <c r="I156" s="2">
        <f ca="1">Tabla1[[#This Row],[Cost]]-Tabla1[[#This Row],[Tendencia]]-Tabla1[[#This Row],[Estacionalidad]]</f>
        <v>-3.865096496527709E-2</v>
      </c>
    </row>
    <row r="157" spans="1:9" x14ac:dyDescent="0.25">
      <c r="A157" t="s">
        <v>158</v>
      </c>
      <c r="B157" s="1">
        <v>38139</v>
      </c>
      <c r="C157">
        <v>0.85680281999999997</v>
      </c>
      <c r="D157">
        <f t="shared" si="4"/>
        <v>0.88450820666666663</v>
      </c>
      <c r="E157">
        <f t="shared" si="5"/>
        <v>0.97720068666666615</v>
      </c>
      <c r="F157">
        <f>Tabla1[[#This Row],[Cost]]-Tabla1[[#This Row],[Tendencia]]</f>
        <v>-0.12039786666666619</v>
      </c>
      <c r="G157">
        <f>MONTH(Tabla1[[#This Row],[fecha]])</f>
        <v>6</v>
      </c>
      <c r="H157">
        <f ca="1">_xlfn.XLOOKUP(Tabla1[[#This Row],[Mes]],$L$2:$L$13,$M$2:$M$13)</f>
        <v>-9.9133701041666328E-2</v>
      </c>
      <c r="I157" s="2">
        <f ca="1">Tabla1[[#This Row],[Cost]]-Tabla1[[#This Row],[Tendencia]]-Tabla1[[#This Row],[Estacionalidad]]</f>
        <v>-2.1264165624999859E-2</v>
      </c>
    </row>
    <row r="158" spans="1:9" x14ac:dyDescent="0.25">
      <c r="A158" t="s">
        <v>159</v>
      </c>
      <c r="B158" s="1">
        <v>38169</v>
      </c>
      <c r="C158">
        <v>1.00159317</v>
      </c>
      <c r="D158">
        <f t="shared" si="4"/>
        <v>0.95108677333333336</v>
      </c>
      <c r="E158">
        <f t="shared" si="5"/>
        <v>0.97731786944444421</v>
      </c>
      <c r="F158">
        <f>Tabla1[[#This Row],[Cost]]-Tabla1[[#This Row],[Tendencia]]</f>
        <v>2.4275300555555823E-2</v>
      </c>
      <c r="G158">
        <f>MONTH(Tabla1[[#This Row],[fecha]])</f>
        <v>7</v>
      </c>
      <c r="H158">
        <f ca="1">_xlfn.XLOOKUP(Tabla1[[#This Row],[Mes]],$L$2:$L$13,$M$2:$M$13)</f>
        <v>-1.1486355624999913E-2</v>
      </c>
      <c r="I158" s="2">
        <f ca="1">Tabla1[[#This Row],[Cost]]-Tabla1[[#This Row],[Tendencia]]-Tabla1[[#This Row],[Estacionalidad]]</f>
        <v>3.576165618055574E-2</v>
      </c>
    </row>
    <row r="159" spans="1:9" x14ac:dyDescent="0.25">
      <c r="A159" t="s">
        <v>160</v>
      </c>
      <c r="B159" s="1">
        <v>38200</v>
      </c>
      <c r="C159">
        <v>0.99486432999999996</v>
      </c>
      <c r="D159">
        <f t="shared" si="4"/>
        <v>1.0436298333333334</v>
      </c>
      <c r="E159">
        <f t="shared" si="5"/>
        <v>0.97381205944444427</v>
      </c>
      <c r="F159">
        <f>Tabla1[[#This Row],[Cost]]-Tabla1[[#This Row],[Tendencia]]</f>
        <v>2.1052270555555697E-2</v>
      </c>
      <c r="G159">
        <f>MONTH(Tabla1[[#This Row],[fecha]])</f>
        <v>8</v>
      </c>
      <c r="H159">
        <f ca="1">_xlfn.XLOOKUP(Tabla1[[#This Row],[Mes]],$L$2:$L$13,$M$2:$M$13)</f>
        <v>3.9656656666666922E-2</v>
      </c>
      <c r="I159" s="2">
        <f ca="1">Tabla1[[#This Row],[Cost]]-Tabla1[[#This Row],[Tendencia]]-Tabla1[[#This Row],[Estacionalidad]]</f>
        <v>-1.8604386111111225E-2</v>
      </c>
    </row>
    <row r="160" spans="1:9" x14ac:dyDescent="0.25">
      <c r="A160" t="s">
        <v>161</v>
      </c>
      <c r="B160" s="1">
        <v>38231</v>
      </c>
      <c r="C160">
        <v>1.1344320000000001</v>
      </c>
      <c r="D160">
        <f t="shared" si="4"/>
        <v>1.1034357766666665</v>
      </c>
      <c r="E160">
        <f t="shared" si="5"/>
        <v>0.96724942138888881</v>
      </c>
      <c r="F160">
        <f>Tabla1[[#This Row],[Cost]]-Tabla1[[#This Row],[Tendencia]]</f>
        <v>0.1671825786111113</v>
      </c>
      <c r="G160">
        <f>MONTH(Tabla1[[#This Row],[fecha]])</f>
        <v>9</v>
      </c>
      <c r="H160">
        <f ca="1">_xlfn.XLOOKUP(Tabla1[[#This Row],[Mes]],$L$2:$L$13,$M$2:$M$13)</f>
        <v>8.483285409722191E-2</v>
      </c>
      <c r="I160" s="2">
        <f ca="1">Tabla1[[#This Row],[Cost]]-Tabla1[[#This Row],[Tendencia]]-Tabla1[[#This Row],[Estacionalidad]]</f>
        <v>8.2349724513889389E-2</v>
      </c>
    </row>
    <row r="161" spans="1:9" x14ac:dyDescent="0.25">
      <c r="A161" t="s">
        <v>162</v>
      </c>
      <c r="B161" s="1">
        <v>38261</v>
      </c>
      <c r="C161">
        <v>1.181011</v>
      </c>
      <c r="D161">
        <f t="shared" si="4"/>
        <v>1.17716</v>
      </c>
      <c r="E161">
        <f t="shared" si="5"/>
        <v>0.95986647888888876</v>
      </c>
      <c r="F161">
        <f>Tabla1[[#This Row],[Cost]]-Tabla1[[#This Row],[Tendencia]]</f>
        <v>0.22114452111111127</v>
      </c>
      <c r="G161">
        <f>MONTH(Tabla1[[#This Row],[fecha]])</f>
        <v>10</v>
      </c>
      <c r="H161">
        <f ca="1">_xlfn.XLOOKUP(Tabla1[[#This Row],[Mes]],$L$2:$L$13,$M$2:$M$13)</f>
        <v>0.13080354874999911</v>
      </c>
      <c r="I161" s="2">
        <f ca="1">Tabla1[[#This Row],[Cost]]-Tabla1[[#This Row],[Tendencia]]-Tabla1[[#This Row],[Estacionalidad]]</f>
        <v>9.034097236111216E-2</v>
      </c>
    </row>
    <row r="162" spans="1:9" x14ac:dyDescent="0.25">
      <c r="A162" t="s">
        <v>163</v>
      </c>
      <c r="B162" s="1">
        <v>38292</v>
      </c>
      <c r="C162">
        <v>1.216037</v>
      </c>
      <c r="D162">
        <f t="shared" si="4"/>
        <v>1.2180953333333333</v>
      </c>
      <c r="E162">
        <f t="shared" si="5"/>
        <v>0.95475810472222211</v>
      </c>
      <c r="F162">
        <f>Tabla1[[#This Row],[Cost]]-Tabla1[[#This Row],[Tendencia]]</f>
        <v>0.26127889527777792</v>
      </c>
      <c r="G162">
        <f>MONTH(Tabla1[[#This Row],[fecha]])</f>
        <v>11</v>
      </c>
      <c r="H162">
        <f ca="1">_xlfn.XLOOKUP(Tabla1[[#This Row],[Mes]],$L$2:$L$13,$M$2:$M$13)</f>
        <v>0.14577509868055594</v>
      </c>
      <c r="I162" s="2">
        <f ca="1">Tabla1[[#This Row],[Cost]]-Tabla1[[#This Row],[Tendencia]]-Tabla1[[#This Row],[Estacionalidad]]</f>
        <v>0.11550379659722199</v>
      </c>
    </row>
    <row r="163" spans="1:9" x14ac:dyDescent="0.25">
      <c r="A163" t="s">
        <v>164</v>
      </c>
      <c r="B163" s="1">
        <v>38322</v>
      </c>
      <c r="C163">
        <v>1.2572380000000001</v>
      </c>
      <c r="D163">
        <f t="shared" si="4"/>
        <v>1.214655</v>
      </c>
      <c r="E163">
        <f t="shared" si="5"/>
        <v>0.94804483749999979</v>
      </c>
      <c r="F163">
        <f>Tabla1[[#This Row],[Cost]]-Tabla1[[#This Row],[Tendencia]]</f>
        <v>0.30919316250000028</v>
      </c>
      <c r="G163">
        <f>MONTH(Tabla1[[#This Row],[fecha]])</f>
        <v>12</v>
      </c>
      <c r="H163">
        <f ca="1">_xlfn.XLOOKUP(Tabla1[[#This Row],[Mes]],$L$2:$L$13,$M$2:$M$13)</f>
        <v>0.24521978491319479</v>
      </c>
      <c r="I163" s="2">
        <f ca="1">Tabla1[[#This Row],[Cost]]-Tabla1[[#This Row],[Tendencia]]-Tabla1[[#This Row],[Estacionalidad]]</f>
        <v>6.3973377586805491E-2</v>
      </c>
    </row>
    <row r="164" spans="1:9" x14ac:dyDescent="0.25">
      <c r="A164" t="s">
        <v>165</v>
      </c>
      <c r="B164" s="1">
        <v>38353</v>
      </c>
      <c r="C164">
        <v>1.17069</v>
      </c>
      <c r="D164">
        <f t="shared" si="4"/>
        <v>1.0085223333333333</v>
      </c>
      <c r="E164">
        <f t="shared" si="5"/>
        <v>0.94442916194444448</v>
      </c>
      <c r="F164">
        <f>Tabla1[[#This Row],[Cost]]-Tabla1[[#This Row],[Tendencia]]</f>
        <v>0.22626083805555552</v>
      </c>
      <c r="G164">
        <f>MONTH(Tabla1[[#This Row],[fecha]])</f>
        <v>1</v>
      </c>
      <c r="H164">
        <f ca="1">_xlfn.XLOOKUP(Tabla1[[#This Row],[Mes]],$L$2:$L$13,$M$2:$M$13)</f>
        <v>0.21042451446180468</v>
      </c>
      <c r="I164" s="2">
        <f ca="1">Tabla1[[#This Row],[Cost]]-Tabla1[[#This Row],[Tendencia]]-Tabla1[[#This Row],[Estacionalidad]]</f>
        <v>1.583632359375084E-2</v>
      </c>
    </row>
    <row r="165" spans="1:9" x14ac:dyDescent="0.25">
      <c r="A165" t="s">
        <v>166</v>
      </c>
      <c r="B165" s="1">
        <v>38384</v>
      </c>
      <c r="C165">
        <v>0.59763900000000003</v>
      </c>
      <c r="D165">
        <f t="shared" si="4"/>
        <v>0.80697300000000005</v>
      </c>
      <c r="E165">
        <f t="shared" si="5"/>
        <v>0.94011470361111105</v>
      </c>
      <c r="F165">
        <f>Tabla1[[#This Row],[Cost]]-Tabla1[[#This Row],[Tendencia]]</f>
        <v>-0.34247570361111102</v>
      </c>
      <c r="G165">
        <f>MONTH(Tabla1[[#This Row],[fecha]])</f>
        <v>2</v>
      </c>
      <c r="H165">
        <f ca="1">_xlfn.XLOOKUP(Tabla1[[#This Row],[Mes]],$L$2:$L$13,$M$2:$M$13)</f>
        <v>-0.24179140911458308</v>
      </c>
      <c r="I165" s="2">
        <f ca="1">Tabla1[[#This Row],[Cost]]-Tabla1[[#This Row],[Tendencia]]-Tabla1[[#This Row],[Estacionalidad]]</f>
        <v>-0.10068429449652794</v>
      </c>
    </row>
    <row r="166" spans="1:9" x14ac:dyDescent="0.25">
      <c r="A166" t="s">
        <v>167</v>
      </c>
      <c r="B166" s="1">
        <v>38412</v>
      </c>
      <c r="C166">
        <v>0.65259</v>
      </c>
      <c r="D166">
        <f t="shared" si="4"/>
        <v>0.64024466666666668</v>
      </c>
      <c r="E166">
        <f t="shared" si="5"/>
        <v>0.9350582777777775</v>
      </c>
      <c r="F166">
        <f>Tabla1[[#This Row],[Cost]]-Tabla1[[#This Row],[Tendencia]]</f>
        <v>-0.2824682777777775</v>
      </c>
      <c r="G166">
        <f>MONTH(Tabla1[[#This Row],[fecha]])</f>
        <v>3</v>
      </c>
      <c r="H166">
        <f ca="1">_xlfn.XLOOKUP(Tabla1[[#This Row],[Mes]],$L$2:$L$13,$M$2:$M$13)</f>
        <v>-0.17478011918402764</v>
      </c>
      <c r="I166" s="2">
        <f ca="1">Tabla1[[#This Row],[Cost]]-Tabla1[[#This Row],[Tendencia]]-Tabla1[[#This Row],[Estacionalidad]]</f>
        <v>-0.10768815859374986</v>
      </c>
    </row>
    <row r="167" spans="1:9" x14ac:dyDescent="0.25">
      <c r="A167" t="s">
        <v>168</v>
      </c>
      <c r="B167" s="1">
        <v>38443</v>
      </c>
      <c r="C167">
        <v>0.67050500000000002</v>
      </c>
      <c r="D167">
        <f t="shared" si="4"/>
        <v>0.67278099999999996</v>
      </c>
      <c r="E167">
        <f t="shared" si="5"/>
        <v>0.92782302777777759</v>
      </c>
      <c r="F167">
        <f>Tabla1[[#This Row],[Cost]]-Tabla1[[#This Row],[Tendencia]]</f>
        <v>-0.25731802777777757</v>
      </c>
      <c r="G167">
        <f>MONTH(Tabla1[[#This Row],[fecha]])</f>
        <v>4</v>
      </c>
      <c r="H167">
        <f ca="1">_xlfn.XLOOKUP(Tabla1[[#This Row],[Mes]],$L$2:$L$13,$M$2:$M$13)</f>
        <v>-0.19176819232638881</v>
      </c>
      <c r="I167" s="2">
        <f ca="1">Tabla1[[#This Row],[Cost]]-Tabla1[[#This Row],[Tendencia]]-Tabla1[[#This Row],[Estacionalidad]]</f>
        <v>-6.554983545138876E-2</v>
      </c>
    </row>
    <row r="168" spans="1:9" x14ac:dyDescent="0.25">
      <c r="A168" t="s">
        <v>169</v>
      </c>
      <c r="B168" s="1">
        <v>38473</v>
      </c>
      <c r="C168">
        <v>0.69524799999999998</v>
      </c>
      <c r="D168">
        <f t="shared" si="4"/>
        <v>0.73600533333333329</v>
      </c>
      <c r="E168">
        <f t="shared" si="5"/>
        <v>0.91900916666666654</v>
      </c>
      <c r="F168">
        <f>Tabla1[[#This Row],[Cost]]-Tabla1[[#This Row],[Tendencia]]</f>
        <v>-0.22376116666666657</v>
      </c>
      <c r="G168">
        <f>MONTH(Tabla1[[#This Row],[fecha]])</f>
        <v>5</v>
      </c>
      <c r="H168">
        <f ca="1">_xlfn.XLOOKUP(Tabla1[[#This Row],[Mes]],$L$2:$L$13,$M$2:$M$13)</f>
        <v>-0.1367608961458332</v>
      </c>
      <c r="I168" s="2">
        <f ca="1">Tabla1[[#This Row],[Cost]]-Tabla1[[#This Row],[Tendencia]]-Tabla1[[#This Row],[Estacionalidad]]</f>
        <v>-8.7000270520833367E-2</v>
      </c>
    </row>
    <row r="169" spans="1:9" x14ac:dyDescent="0.25">
      <c r="A169" t="s">
        <v>170</v>
      </c>
      <c r="B169" s="1">
        <v>38504</v>
      </c>
      <c r="C169">
        <v>0.84226299999999998</v>
      </c>
      <c r="D169">
        <f t="shared" si="4"/>
        <v>0.80394899999999991</v>
      </c>
      <c r="E169">
        <f t="shared" si="5"/>
        <v>0.91613888888888895</v>
      </c>
      <c r="F169">
        <f>Tabla1[[#This Row],[Cost]]-Tabla1[[#This Row],[Tendencia]]</f>
        <v>-7.3875888888888963E-2</v>
      </c>
      <c r="G169">
        <f>MONTH(Tabla1[[#This Row],[fecha]])</f>
        <v>6</v>
      </c>
      <c r="H169">
        <f ca="1">_xlfn.XLOOKUP(Tabla1[[#This Row],[Mes]],$L$2:$L$13,$M$2:$M$13)</f>
        <v>-9.9133701041666328E-2</v>
      </c>
      <c r="I169" s="2">
        <f ca="1">Tabla1[[#This Row],[Cost]]-Tabla1[[#This Row],[Tendencia]]-Tabla1[[#This Row],[Estacionalidad]]</f>
        <v>2.5257812152777365E-2</v>
      </c>
    </row>
    <row r="170" spans="1:9" x14ac:dyDescent="0.25">
      <c r="A170" t="s">
        <v>171</v>
      </c>
      <c r="B170" s="1">
        <v>38534</v>
      </c>
      <c r="C170">
        <v>0.874336</v>
      </c>
      <c r="D170">
        <f t="shared" si="4"/>
        <v>0.90769866666666665</v>
      </c>
      <c r="E170">
        <f t="shared" si="5"/>
        <v>0.91483252777777768</v>
      </c>
      <c r="F170">
        <f>Tabla1[[#This Row],[Cost]]-Tabla1[[#This Row],[Tendencia]]</f>
        <v>-4.049652777777768E-2</v>
      </c>
      <c r="G170">
        <f>MONTH(Tabla1[[#This Row],[fecha]])</f>
        <v>7</v>
      </c>
      <c r="H170">
        <f ca="1">_xlfn.XLOOKUP(Tabla1[[#This Row],[Mes]],$L$2:$L$13,$M$2:$M$13)</f>
        <v>-1.1486355624999913E-2</v>
      </c>
      <c r="I170" s="2">
        <f ca="1">Tabla1[[#This Row],[Cost]]-Tabla1[[#This Row],[Tendencia]]-Tabla1[[#This Row],[Estacionalidad]]</f>
        <v>-2.9010172152777767E-2</v>
      </c>
    </row>
    <row r="171" spans="1:9" x14ac:dyDescent="0.25">
      <c r="A171" t="s">
        <v>172</v>
      </c>
      <c r="B171" s="1">
        <v>38565</v>
      </c>
      <c r="C171">
        <v>1.006497</v>
      </c>
      <c r="D171">
        <f t="shared" si="4"/>
        <v>0.99185633333333334</v>
      </c>
      <c r="E171">
        <f t="shared" si="5"/>
        <v>0.9177176944444444</v>
      </c>
      <c r="F171">
        <f>Tabla1[[#This Row],[Cost]]-Tabla1[[#This Row],[Tendencia]]</f>
        <v>8.8779305555555577E-2</v>
      </c>
      <c r="G171">
        <f>MONTH(Tabla1[[#This Row],[fecha]])</f>
        <v>8</v>
      </c>
      <c r="H171">
        <f ca="1">_xlfn.XLOOKUP(Tabla1[[#This Row],[Mes]],$L$2:$L$13,$M$2:$M$13)</f>
        <v>3.9656656666666922E-2</v>
      </c>
      <c r="I171" s="2">
        <f ca="1">Tabla1[[#This Row],[Cost]]-Tabla1[[#This Row],[Tendencia]]-Tabla1[[#This Row],[Estacionalidad]]</f>
        <v>4.9122648888888655E-2</v>
      </c>
    </row>
    <row r="172" spans="1:9" x14ac:dyDescent="0.25">
      <c r="A172" t="s">
        <v>173</v>
      </c>
      <c r="B172" s="1">
        <v>38596</v>
      </c>
      <c r="C172">
        <v>1.0947359999999999</v>
      </c>
      <c r="D172">
        <f t="shared" si="4"/>
        <v>1.0427586666666666</v>
      </c>
      <c r="E172">
        <f t="shared" si="5"/>
        <v>0.9180788333333334</v>
      </c>
      <c r="F172">
        <f>Tabla1[[#This Row],[Cost]]-Tabla1[[#This Row],[Tendencia]]</f>
        <v>0.17665716666666653</v>
      </c>
      <c r="G172">
        <f>MONTH(Tabla1[[#This Row],[fecha]])</f>
        <v>9</v>
      </c>
      <c r="H172">
        <f ca="1">_xlfn.XLOOKUP(Tabla1[[#This Row],[Mes]],$L$2:$L$13,$M$2:$M$13)</f>
        <v>8.483285409722191E-2</v>
      </c>
      <c r="I172" s="2">
        <f ca="1">Tabla1[[#This Row],[Cost]]-Tabla1[[#This Row],[Tendencia]]-Tabla1[[#This Row],[Estacionalidad]]</f>
        <v>9.1824312569444622E-2</v>
      </c>
    </row>
    <row r="173" spans="1:9" x14ac:dyDescent="0.25">
      <c r="A173" t="s">
        <v>174</v>
      </c>
      <c r="B173" s="1">
        <v>38626</v>
      </c>
      <c r="C173">
        <v>1.0270429999999999</v>
      </c>
      <c r="D173">
        <f t="shared" si="4"/>
        <v>1.0903370000000001</v>
      </c>
      <c r="E173">
        <f t="shared" si="5"/>
        <v>0.92184722222222204</v>
      </c>
      <c r="F173">
        <f>Tabla1[[#This Row],[Cost]]-Tabla1[[#This Row],[Tendencia]]</f>
        <v>0.10519577777777789</v>
      </c>
      <c r="G173">
        <f>MONTH(Tabla1[[#This Row],[fecha]])</f>
        <v>10</v>
      </c>
      <c r="H173">
        <f ca="1">_xlfn.XLOOKUP(Tabla1[[#This Row],[Mes]],$L$2:$L$13,$M$2:$M$13)</f>
        <v>0.13080354874999911</v>
      </c>
      <c r="I173" s="2">
        <f ca="1">Tabla1[[#This Row],[Cost]]-Tabla1[[#This Row],[Tendencia]]-Tabla1[[#This Row],[Estacionalidad]]</f>
        <v>-2.5607770972221222E-2</v>
      </c>
    </row>
    <row r="174" spans="1:9" x14ac:dyDescent="0.25">
      <c r="A174" t="s">
        <v>175</v>
      </c>
      <c r="B174" s="1">
        <v>38657</v>
      </c>
      <c r="C174">
        <v>1.149232</v>
      </c>
      <c r="D174">
        <f t="shared" si="4"/>
        <v>1.1123289999999999</v>
      </c>
      <c r="E174">
        <f t="shared" si="5"/>
        <v>0.92287499999999989</v>
      </c>
      <c r="F174">
        <f>Tabla1[[#This Row],[Cost]]-Tabla1[[#This Row],[Tendencia]]</f>
        <v>0.22635700000000014</v>
      </c>
      <c r="G174">
        <f>MONTH(Tabla1[[#This Row],[fecha]])</f>
        <v>11</v>
      </c>
      <c r="H174">
        <f ca="1">_xlfn.XLOOKUP(Tabla1[[#This Row],[Mes]],$L$2:$L$13,$M$2:$M$13)</f>
        <v>0.14577509868055594</v>
      </c>
      <c r="I174" s="2">
        <f ca="1">Tabla1[[#This Row],[Cost]]-Tabla1[[#This Row],[Tendencia]]-Tabla1[[#This Row],[Estacionalidad]]</f>
        <v>8.0581901319444205E-2</v>
      </c>
    </row>
    <row r="175" spans="1:9" x14ac:dyDescent="0.25">
      <c r="A175" t="s">
        <v>176</v>
      </c>
      <c r="B175" s="1">
        <v>38687</v>
      </c>
      <c r="C175">
        <v>1.160712</v>
      </c>
      <c r="D175">
        <f t="shared" si="4"/>
        <v>1.1802116666666667</v>
      </c>
      <c r="E175">
        <f t="shared" si="5"/>
        <v>0.92503722222222218</v>
      </c>
      <c r="F175">
        <f>Tabla1[[#This Row],[Cost]]-Tabla1[[#This Row],[Tendencia]]</f>
        <v>0.23567477777777779</v>
      </c>
      <c r="G175">
        <f>MONTH(Tabla1[[#This Row],[fecha]])</f>
        <v>12</v>
      </c>
      <c r="H175">
        <f ca="1">_xlfn.XLOOKUP(Tabla1[[#This Row],[Mes]],$L$2:$L$13,$M$2:$M$13)</f>
        <v>0.24521978491319479</v>
      </c>
      <c r="I175" s="2">
        <f ca="1">Tabla1[[#This Row],[Cost]]-Tabla1[[#This Row],[Tendencia]]-Tabla1[[#This Row],[Estacionalidad]]</f>
        <v>-9.5450071354170052E-3</v>
      </c>
    </row>
    <row r="176" spans="1:9" x14ac:dyDescent="0.25">
      <c r="A176" t="s">
        <v>177</v>
      </c>
      <c r="B176" s="1">
        <v>38718</v>
      </c>
      <c r="C176">
        <v>1.230691</v>
      </c>
      <c r="D176">
        <f t="shared" si="4"/>
        <v>0.99284600000000001</v>
      </c>
      <c r="E176">
        <f t="shared" si="5"/>
        <v>0.92528261111111121</v>
      </c>
      <c r="F176">
        <f>Tabla1[[#This Row],[Cost]]-Tabla1[[#This Row],[Tendencia]]</f>
        <v>0.30540838888888877</v>
      </c>
      <c r="G176">
        <f>MONTH(Tabla1[[#This Row],[fecha]])</f>
        <v>1</v>
      </c>
      <c r="H176">
        <f ca="1">_xlfn.XLOOKUP(Tabla1[[#This Row],[Mes]],$L$2:$L$13,$M$2:$M$13)</f>
        <v>0.21042451446180468</v>
      </c>
      <c r="I176" s="2">
        <f ca="1">Tabla1[[#This Row],[Cost]]-Tabla1[[#This Row],[Tendencia]]-Tabla1[[#This Row],[Estacionalidad]]</f>
        <v>9.4983874427084086E-2</v>
      </c>
    </row>
    <row r="177" spans="1:9" x14ac:dyDescent="0.25">
      <c r="A177" t="s">
        <v>178</v>
      </c>
      <c r="B177" s="1">
        <v>38749</v>
      </c>
      <c r="C177">
        <v>0.58713499999999996</v>
      </c>
      <c r="D177">
        <f t="shared" si="4"/>
        <v>0.84159499999999998</v>
      </c>
      <c r="E177">
        <f t="shared" si="5"/>
        <v>0.92400761111111107</v>
      </c>
      <c r="F177">
        <f>Tabla1[[#This Row],[Cost]]-Tabla1[[#This Row],[Tendencia]]</f>
        <v>-0.33687261111111111</v>
      </c>
      <c r="G177">
        <f>MONTH(Tabla1[[#This Row],[fecha]])</f>
        <v>2</v>
      </c>
      <c r="H177">
        <f ca="1">_xlfn.XLOOKUP(Tabla1[[#This Row],[Mes]],$L$2:$L$13,$M$2:$M$13)</f>
        <v>-0.24179140911458308</v>
      </c>
      <c r="I177" s="2">
        <f ca="1">Tabla1[[#This Row],[Cost]]-Tabla1[[#This Row],[Tendencia]]-Tabla1[[#This Row],[Estacionalidad]]</f>
        <v>-9.5081201996528031E-2</v>
      </c>
    </row>
    <row r="178" spans="1:9" x14ac:dyDescent="0.25">
      <c r="A178" t="s">
        <v>179</v>
      </c>
      <c r="B178" s="1">
        <v>38777</v>
      </c>
      <c r="C178">
        <v>0.706959</v>
      </c>
      <c r="D178">
        <f t="shared" si="4"/>
        <v>0.64457833333333336</v>
      </c>
      <c r="E178">
        <f t="shared" si="5"/>
        <v>0.92637800000000003</v>
      </c>
      <c r="F178">
        <f>Tabla1[[#This Row],[Cost]]-Tabla1[[#This Row],[Tendencia]]</f>
        <v>-0.21941900000000003</v>
      </c>
      <c r="G178">
        <f>MONTH(Tabla1[[#This Row],[fecha]])</f>
        <v>3</v>
      </c>
      <c r="H178">
        <f ca="1">_xlfn.XLOOKUP(Tabla1[[#This Row],[Mes]],$L$2:$L$13,$M$2:$M$13)</f>
        <v>-0.17478011918402764</v>
      </c>
      <c r="I178" s="2">
        <f ca="1">Tabla1[[#This Row],[Cost]]-Tabla1[[#This Row],[Tendencia]]-Tabla1[[#This Row],[Estacionalidad]]</f>
        <v>-4.4638880815972393E-2</v>
      </c>
    </row>
    <row r="179" spans="1:9" x14ac:dyDescent="0.25">
      <c r="A179" t="s">
        <v>180</v>
      </c>
      <c r="B179" s="1">
        <v>38808</v>
      </c>
      <c r="C179">
        <v>0.63964100000000002</v>
      </c>
      <c r="D179">
        <f t="shared" si="4"/>
        <v>0.71800166666666676</v>
      </c>
      <c r="E179">
        <f t="shared" si="5"/>
        <v>0.92640547222222225</v>
      </c>
      <c r="F179">
        <f>Tabla1[[#This Row],[Cost]]-Tabla1[[#This Row],[Tendencia]]</f>
        <v>-0.28676447222222223</v>
      </c>
      <c r="G179">
        <f>MONTH(Tabla1[[#This Row],[fecha]])</f>
        <v>4</v>
      </c>
      <c r="H179">
        <f ca="1">_xlfn.XLOOKUP(Tabla1[[#This Row],[Mes]],$L$2:$L$13,$M$2:$M$13)</f>
        <v>-0.19176819232638881</v>
      </c>
      <c r="I179" s="2">
        <f ca="1">Tabla1[[#This Row],[Cost]]-Tabla1[[#This Row],[Tendencia]]-Tabla1[[#This Row],[Estacionalidad]]</f>
        <v>-9.4996279895833424E-2</v>
      </c>
    </row>
    <row r="180" spans="1:9" x14ac:dyDescent="0.25">
      <c r="A180" t="s">
        <v>181</v>
      </c>
      <c r="B180" s="1">
        <v>38838</v>
      </c>
      <c r="C180">
        <v>0.80740500000000004</v>
      </c>
      <c r="D180">
        <f t="shared" si="4"/>
        <v>0.74833866666666671</v>
      </c>
      <c r="E180">
        <f t="shared" si="5"/>
        <v>0.92805427777777771</v>
      </c>
      <c r="F180">
        <f>Tabla1[[#This Row],[Cost]]-Tabla1[[#This Row],[Tendencia]]</f>
        <v>-0.12064927777777767</v>
      </c>
      <c r="G180">
        <f>MONTH(Tabla1[[#This Row],[fecha]])</f>
        <v>5</v>
      </c>
      <c r="H180">
        <f ca="1">_xlfn.XLOOKUP(Tabla1[[#This Row],[Mes]],$L$2:$L$13,$M$2:$M$13)</f>
        <v>-0.1367608961458332</v>
      </c>
      <c r="I180" s="2">
        <f ca="1">Tabla1[[#This Row],[Cost]]-Tabla1[[#This Row],[Tendencia]]-Tabla1[[#This Row],[Estacionalidad]]</f>
        <v>1.6111618368055525E-2</v>
      </c>
    </row>
    <row r="181" spans="1:9" x14ac:dyDescent="0.25">
      <c r="A181" t="s">
        <v>182</v>
      </c>
      <c r="B181" s="1">
        <v>38869</v>
      </c>
      <c r="C181">
        <v>0.79796999999999996</v>
      </c>
      <c r="D181">
        <f t="shared" si="4"/>
        <v>0.8298956666666667</v>
      </c>
      <c r="E181">
        <f t="shared" si="5"/>
        <v>0.92557580555555552</v>
      </c>
      <c r="F181">
        <f>Tabla1[[#This Row],[Cost]]-Tabla1[[#This Row],[Tendencia]]</f>
        <v>-0.12760580555555556</v>
      </c>
      <c r="G181">
        <f>MONTH(Tabla1[[#This Row],[fecha]])</f>
        <v>6</v>
      </c>
      <c r="H181">
        <f ca="1">_xlfn.XLOOKUP(Tabla1[[#This Row],[Mes]],$L$2:$L$13,$M$2:$M$13)</f>
        <v>-9.9133701041666328E-2</v>
      </c>
      <c r="I181" s="2">
        <f ca="1">Tabla1[[#This Row],[Cost]]-Tabla1[[#This Row],[Tendencia]]-Tabla1[[#This Row],[Estacionalidad]]</f>
        <v>-2.8472104513889235E-2</v>
      </c>
    </row>
    <row r="182" spans="1:9" x14ac:dyDescent="0.25">
      <c r="A182" t="s">
        <v>183</v>
      </c>
      <c r="B182" s="1">
        <v>38899</v>
      </c>
      <c r="C182">
        <v>0.88431199999999999</v>
      </c>
      <c r="D182">
        <f t="shared" si="4"/>
        <v>0.91064333333333325</v>
      </c>
      <c r="E182">
        <f t="shared" si="5"/>
        <v>0.92453655555555558</v>
      </c>
      <c r="F182">
        <f>Tabla1[[#This Row],[Cost]]-Tabla1[[#This Row],[Tendencia]]</f>
        <v>-4.0224555555555597E-2</v>
      </c>
      <c r="G182">
        <f>MONTH(Tabla1[[#This Row],[fecha]])</f>
        <v>7</v>
      </c>
      <c r="H182">
        <f ca="1">_xlfn.XLOOKUP(Tabla1[[#This Row],[Mes]],$L$2:$L$13,$M$2:$M$13)</f>
        <v>-1.1486355624999913E-2</v>
      </c>
      <c r="I182" s="2">
        <f ca="1">Tabla1[[#This Row],[Cost]]-Tabla1[[#This Row],[Tendencia]]-Tabla1[[#This Row],[Estacionalidad]]</f>
        <v>-2.8738199930555684E-2</v>
      </c>
    </row>
    <row r="183" spans="1:9" x14ac:dyDescent="0.25">
      <c r="A183" t="s">
        <v>184</v>
      </c>
      <c r="B183" s="1">
        <v>38930</v>
      </c>
      <c r="C183">
        <v>1.0496479999999999</v>
      </c>
      <c r="D183">
        <f t="shared" si="4"/>
        <v>0.97655633333333325</v>
      </c>
      <c r="E183">
        <f t="shared" si="5"/>
        <v>0.92455558333333343</v>
      </c>
      <c r="F183">
        <f>Tabla1[[#This Row],[Cost]]-Tabla1[[#This Row],[Tendencia]]</f>
        <v>0.12509241666666648</v>
      </c>
      <c r="G183">
        <f>MONTH(Tabla1[[#This Row],[fecha]])</f>
        <v>8</v>
      </c>
      <c r="H183">
        <f ca="1">_xlfn.XLOOKUP(Tabla1[[#This Row],[Mes]],$L$2:$L$13,$M$2:$M$13)</f>
        <v>3.9656656666666922E-2</v>
      </c>
      <c r="I183" s="2">
        <f ca="1">Tabla1[[#This Row],[Cost]]-Tabla1[[#This Row],[Tendencia]]-Tabla1[[#This Row],[Estacionalidad]]</f>
        <v>8.5435759999999555E-2</v>
      </c>
    </row>
    <row r="184" spans="1:9" x14ac:dyDescent="0.25">
      <c r="A184" t="s">
        <v>185</v>
      </c>
      <c r="B184" s="1">
        <v>38961</v>
      </c>
      <c r="C184">
        <v>0.99570899999999996</v>
      </c>
      <c r="D184">
        <f t="shared" si="4"/>
        <v>1.0712033333333333</v>
      </c>
      <c r="E184">
        <f t="shared" si="5"/>
        <v>0.92261602777777785</v>
      </c>
      <c r="F184">
        <f>Tabla1[[#This Row],[Cost]]-Tabla1[[#This Row],[Tendencia]]</f>
        <v>7.3092972222222108E-2</v>
      </c>
      <c r="G184">
        <f>MONTH(Tabla1[[#This Row],[fecha]])</f>
        <v>9</v>
      </c>
      <c r="H184">
        <f ca="1">_xlfn.XLOOKUP(Tabla1[[#This Row],[Mes]],$L$2:$L$13,$M$2:$M$13)</f>
        <v>8.483285409722191E-2</v>
      </c>
      <c r="I184" s="2">
        <f ca="1">Tabla1[[#This Row],[Cost]]-Tabla1[[#This Row],[Tendencia]]-Tabla1[[#This Row],[Estacionalidad]]</f>
        <v>-1.1739881874999802E-2</v>
      </c>
    </row>
    <row r="185" spans="1:9" x14ac:dyDescent="0.25">
      <c r="A185" t="s">
        <v>186</v>
      </c>
      <c r="B185" s="1">
        <v>38991</v>
      </c>
      <c r="C185">
        <v>1.168253</v>
      </c>
      <c r="D185">
        <f t="shared" si="4"/>
        <v>1.0906666666666667</v>
      </c>
      <c r="E185">
        <f t="shared" si="5"/>
        <v>0.91865522222222218</v>
      </c>
      <c r="F185">
        <f>Tabla1[[#This Row],[Cost]]-Tabla1[[#This Row],[Tendencia]]</f>
        <v>0.24959777777777781</v>
      </c>
      <c r="G185">
        <f>MONTH(Tabla1[[#This Row],[fecha]])</f>
        <v>10</v>
      </c>
      <c r="H185">
        <f ca="1">_xlfn.XLOOKUP(Tabla1[[#This Row],[Mes]],$L$2:$L$13,$M$2:$M$13)</f>
        <v>0.13080354874999911</v>
      </c>
      <c r="I185" s="2">
        <f ca="1">Tabla1[[#This Row],[Cost]]-Tabla1[[#This Row],[Tendencia]]-Tabla1[[#This Row],[Estacionalidad]]</f>
        <v>0.1187942290277787</v>
      </c>
    </row>
    <row r="186" spans="1:9" x14ac:dyDescent="0.25">
      <c r="A186" t="s">
        <v>187</v>
      </c>
      <c r="B186" s="1">
        <v>39022</v>
      </c>
      <c r="C186">
        <v>1.1080380000000001</v>
      </c>
      <c r="D186">
        <f t="shared" si="4"/>
        <v>1.1321146666666666</v>
      </c>
      <c r="E186">
        <f t="shared" si="5"/>
        <v>0.91587566666666664</v>
      </c>
      <c r="F186">
        <f>Tabla1[[#This Row],[Cost]]-Tabla1[[#This Row],[Tendencia]]</f>
        <v>0.19216233333333343</v>
      </c>
      <c r="G186">
        <f>MONTH(Tabla1[[#This Row],[fecha]])</f>
        <v>11</v>
      </c>
      <c r="H186">
        <f ca="1">_xlfn.XLOOKUP(Tabla1[[#This Row],[Mes]],$L$2:$L$13,$M$2:$M$13)</f>
        <v>0.14577509868055594</v>
      </c>
      <c r="I186" s="2">
        <f ca="1">Tabla1[[#This Row],[Cost]]-Tabla1[[#This Row],[Tendencia]]-Tabla1[[#This Row],[Estacionalidad]]</f>
        <v>4.6387234652777498E-2</v>
      </c>
    </row>
    <row r="187" spans="1:9" x14ac:dyDescent="0.25">
      <c r="A187" t="s">
        <v>188</v>
      </c>
      <c r="B187" s="1">
        <v>39052</v>
      </c>
      <c r="C187">
        <v>1.120053</v>
      </c>
      <c r="D187">
        <f t="shared" si="4"/>
        <v>1.1504700000000001</v>
      </c>
      <c r="E187">
        <f t="shared" si="5"/>
        <v>0.91719924999999991</v>
      </c>
      <c r="F187">
        <f>Tabla1[[#This Row],[Cost]]-Tabla1[[#This Row],[Tendencia]]</f>
        <v>0.20285375000000005</v>
      </c>
      <c r="G187">
        <f>MONTH(Tabla1[[#This Row],[fecha]])</f>
        <v>12</v>
      </c>
      <c r="H187">
        <f ca="1">_xlfn.XLOOKUP(Tabla1[[#This Row],[Mes]],$L$2:$L$13,$M$2:$M$13)</f>
        <v>0.24521978491319479</v>
      </c>
      <c r="I187" s="2">
        <f ca="1">Tabla1[[#This Row],[Cost]]-Tabla1[[#This Row],[Tendencia]]-Tabla1[[#This Row],[Estacionalidad]]</f>
        <v>-4.2366034913194739E-2</v>
      </c>
    </row>
    <row r="188" spans="1:9" x14ac:dyDescent="0.25">
      <c r="A188" t="s">
        <v>189</v>
      </c>
      <c r="B188" s="1">
        <v>39083</v>
      </c>
      <c r="C188">
        <v>1.223319</v>
      </c>
      <c r="D188">
        <f t="shared" si="4"/>
        <v>0.980375</v>
      </c>
      <c r="E188">
        <f t="shared" si="5"/>
        <v>0.92104279138888889</v>
      </c>
      <c r="F188">
        <f>Tabla1[[#This Row],[Cost]]-Tabla1[[#This Row],[Tendencia]]</f>
        <v>0.30227620861111115</v>
      </c>
      <c r="G188">
        <f>MONTH(Tabla1[[#This Row],[fecha]])</f>
        <v>1</v>
      </c>
      <c r="H188">
        <f ca="1">_xlfn.XLOOKUP(Tabla1[[#This Row],[Mes]],$L$2:$L$13,$M$2:$M$13)</f>
        <v>0.21042451446180468</v>
      </c>
      <c r="I188" s="2">
        <f ca="1">Tabla1[[#This Row],[Cost]]-Tabla1[[#This Row],[Tendencia]]-Tabla1[[#This Row],[Estacionalidad]]</f>
        <v>9.1851694149306468E-2</v>
      </c>
    </row>
    <row r="189" spans="1:9" x14ac:dyDescent="0.25">
      <c r="A189" t="s">
        <v>190</v>
      </c>
      <c r="B189" s="1">
        <v>39114</v>
      </c>
      <c r="C189">
        <v>0.59775299999999998</v>
      </c>
      <c r="D189">
        <f t="shared" si="4"/>
        <v>0.84182333333333326</v>
      </c>
      <c r="E189">
        <f t="shared" si="5"/>
        <v>0.92697823861111106</v>
      </c>
      <c r="F189">
        <f>Tabla1[[#This Row],[Cost]]-Tabla1[[#This Row],[Tendencia]]</f>
        <v>-0.32922523861111108</v>
      </c>
      <c r="G189">
        <f>MONTH(Tabla1[[#This Row],[fecha]])</f>
        <v>2</v>
      </c>
      <c r="H189">
        <f ca="1">_xlfn.XLOOKUP(Tabla1[[#This Row],[Mes]],$L$2:$L$13,$M$2:$M$13)</f>
        <v>-0.24179140911458308</v>
      </c>
      <c r="I189" s="2">
        <f ca="1">Tabla1[[#This Row],[Cost]]-Tabla1[[#This Row],[Tendencia]]-Tabla1[[#This Row],[Estacionalidad]]</f>
        <v>-8.7433829496528004E-2</v>
      </c>
    </row>
    <row r="190" spans="1:9" x14ac:dyDescent="0.25">
      <c r="A190" t="s">
        <v>191</v>
      </c>
      <c r="B190" s="1">
        <v>39142</v>
      </c>
      <c r="C190">
        <v>0.70439799999999997</v>
      </c>
      <c r="D190">
        <f t="shared" si="4"/>
        <v>0.62130366666666659</v>
      </c>
      <c r="E190">
        <f t="shared" si="5"/>
        <v>0.92935518972222197</v>
      </c>
      <c r="F190">
        <f>Tabla1[[#This Row],[Cost]]-Tabla1[[#This Row],[Tendencia]]</f>
        <v>-0.22495718972222201</v>
      </c>
      <c r="G190">
        <f>MONTH(Tabla1[[#This Row],[fecha]])</f>
        <v>3</v>
      </c>
      <c r="H190">
        <f ca="1">_xlfn.XLOOKUP(Tabla1[[#This Row],[Mes]],$L$2:$L$13,$M$2:$M$13)</f>
        <v>-0.17478011918402764</v>
      </c>
      <c r="I190" s="2">
        <f ca="1">Tabla1[[#This Row],[Cost]]-Tabla1[[#This Row],[Tendencia]]-Tabla1[[#This Row],[Estacionalidad]]</f>
        <v>-5.0177070538194368E-2</v>
      </c>
    </row>
    <row r="191" spans="1:9" x14ac:dyDescent="0.25">
      <c r="A191" t="s">
        <v>192</v>
      </c>
      <c r="B191" s="1">
        <v>39173</v>
      </c>
      <c r="C191">
        <v>0.56176000000000004</v>
      </c>
      <c r="D191">
        <f t="shared" si="4"/>
        <v>0.67047199999999985</v>
      </c>
      <c r="E191">
        <f t="shared" si="5"/>
        <v>0.93248005222222174</v>
      </c>
      <c r="F191">
        <f>Tabla1[[#This Row],[Cost]]-Tabla1[[#This Row],[Tendencia]]</f>
        <v>-0.37072005222222171</v>
      </c>
      <c r="G191">
        <f>MONTH(Tabla1[[#This Row],[fecha]])</f>
        <v>4</v>
      </c>
      <c r="H191">
        <f ca="1">_xlfn.XLOOKUP(Tabla1[[#This Row],[Mes]],$L$2:$L$13,$M$2:$M$13)</f>
        <v>-0.19176819232638881</v>
      </c>
      <c r="I191" s="2">
        <f ca="1">Tabla1[[#This Row],[Cost]]-Tabla1[[#This Row],[Tendencia]]-Tabla1[[#This Row],[Estacionalidad]]</f>
        <v>-0.1789518598958329</v>
      </c>
    </row>
    <row r="192" spans="1:9" x14ac:dyDescent="0.25">
      <c r="A192" t="s">
        <v>193</v>
      </c>
      <c r="B192" s="1">
        <v>39203</v>
      </c>
      <c r="C192">
        <v>0.74525799999999998</v>
      </c>
      <c r="D192">
        <f t="shared" si="4"/>
        <v>0.71498399999999995</v>
      </c>
      <c r="E192">
        <f t="shared" si="5"/>
        <v>0.9339733422222215</v>
      </c>
      <c r="F192">
        <f>Tabla1[[#This Row],[Cost]]-Tabla1[[#This Row],[Tendencia]]</f>
        <v>-0.18871534222222153</v>
      </c>
      <c r="G192">
        <f>MONTH(Tabla1[[#This Row],[fecha]])</f>
        <v>5</v>
      </c>
      <c r="H192">
        <f ca="1">_xlfn.XLOOKUP(Tabla1[[#This Row],[Mes]],$L$2:$L$13,$M$2:$M$13)</f>
        <v>-0.1367608961458332</v>
      </c>
      <c r="I192" s="2">
        <f ca="1">Tabla1[[#This Row],[Cost]]-Tabla1[[#This Row],[Tendencia]]-Tabla1[[#This Row],[Estacionalidad]]</f>
        <v>-5.1954446076388328E-2</v>
      </c>
    </row>
    <row r="193" spans="1:9" x14ac:dyDescent="0.25">
      <c r="A193" t="s">
        <v>194</v>
      </c>
      <c r="B193" s="1">
        <v>39234</v>
      </c>
      <c r="C193">
        <v>0.83793399999999996</v>
      </c>
      <c r="D193">
        <f t="shared" si="4"/>
        <v>0.84577866666666657</v>
      </c>
      <c r="E193">
        <f t="shared" si="5"/>
        <v>0.93699151722222129</v>
      </c>
      <c r="F193">
        <f>Tabla1[[#This Row],[Cost]]-Tabla1[[#This Row],[Tendencia]]</f>
        <v>-9.9057517222221336E-2</v>
      </c>
      <c r="G193">
        <f>MONTH(Tabla1[[#This Row],[fecha]])</f>
        <v>6</v>
      </c>
      <c r="H193">
        <f ca="1">_xlfn.XLOOKUP(Tabla1[[#This Row],[Mes]],$L$2:$L$13,$M$2:$M$13)</f>
        <v>-9.9133701041666328E-2</v>
      </c>
      <c r="I193" s="2">
        <f ca="1">Tabla1[[#This Row],[Cost]]-Tabla1[[#This Row],[Tendencia]]-Tabla1[[#This Row],[Estacionalidad]]</f>
        <v>7.618381944499153E-5</v>
      </c>
    </row>
    <row r="194" spans="1:9" x14ac:dyDescent="0.25">
      <c r="A194" t="s">
        <v>195</v>
      </c>
      <c r="B194" s="1">
        <v>39264</v>
      </c>
      <c r="C194">
        <v>0.95414399999999999</v>
      </c>
      <c r="D194">
        <f t="shared" ref="D194:D205" si="6">AVERAGE(C193:C195)</f>
        <v>0.95676583000000004</v>
      </c>
      <c r="E194">
        <f t="shared" si="5"/>
        <v>0.94302560055555473</v>
      </c>
      <c r="F194">
        <f>Tabla1[[#This Row],[Cost]]-Tabla1[[#This Row],[Tendencia]]</f>
        <v>1.1118399444445259E-2</v>
      </c>
      <c r="G194">
        <f>MONTH(Tabla1[[#This Row],[fecha]])</f>
        <v>7</v>
      </c>
      <c r="H194">
        <f ca="1">_xlfn.XLOOKUP(Tabla1[[#This Row],[Mes]],$L$2:$L$13,$M$2:$M$13)</f>
        <v>-1.1486355624999913E-2</v>
      </c>
      <c r="I194" s="2">
        <f ca="1">Tabla1[[#This Row],[Cost]]-Tabla1[[#This Row],[Tendencia]]-Tabla1[[#This Row],[Estacionalidad]]</f>
        <v>2.2604755069445173E-2</v>
      </c>
    </row>
    <row r="195" spans="1:9" x14ac:dyDescent="0.25">
      <c r="A195" t="s">
        <v>196</v>
      </c>
      <c r="B195" s="1">
        <v>39295</v>
      </c>
      <c r="C195">
        <v>1.0782194899999999</v>
      </c>
      <c r="D195">
        <f t="shared" si="6"/>
        <v>1.0477817</v>
      </c>
      <c r="E195">
        <f t="shared" si="5"/>
        <v>0.9459624894444435</v>
      </c>
      <c r="F195">
        <f>Tabla1[[#This Row],[Cost]]-Tabla1[[#This Row],[Tendencia]]</f>
        <v>0.13225700055555645</v>
      </c>
      <c r="G195">
        <f>MONTH(Tabla1[[#This Row],[fecha]])</f>
        <v>8</v>
      </c>
      <c r="H195">
        <f ca="1">_xlfn.XLOOKUP(Tabla1[[#This Row],[Mes]],$L$2:$L$13,$M$2:$M$13)</f>
        <v>3.9656656666666922E-2</v>
      </c>
      <c r="I195" s="2">
        <f ca="1">Tabla1[[#This Row],[Cost]]-Tabla1[[#This Row],[Tendencia]]-Tabla1[[#This Row],[Estacionalidad]]</f>
        <v>9.2600343888889519E-2</v>
      </c>
    </row>
    <row r="196" spans="1:9" x14ac:dyDescent="0.25">
      <c r="A196" t="s">
        <v>197</v>
      </c>
      <c r="B196" s="1">
        <v>39326</v>
      </c>
      <c r="C196">
        <v>1.1109816100000001</v>
      </c>
      <c r="D196">
        <f t="shared" si="6"/>
        <v>1.0997267466666634</v>
      </c>
      <c r="E196">
        <f t="shared" si="5"/>
        <v>0.95638562833333252</v>
      </c>
      <c r="F196">
        <f>Tabla1[[#This Row],[Cost]]-Tabla1[[#This Row],[Tendencia]]</f>
        <v>0.15459598166666755</v>
      </c>
      <c r="G196">
        <f>MONTH(Tabla1[[#This Row],[fecha]])</f>
        <v>9</v>
      </c>
      <c r="H196">
        <f ca="1">_xlfn.XLOOKUP(Tabla1[[#This Row],[Mes]],$L$2:$L$13,$M$2:$M$13)</f>
        <v>8.483285409722191E-2</v>
      </c>
      <c r="I196" s="2">
        <f ca="1">Tabla1[[#This Row],[Cost]]-Tabla1[[#This Row],[Tendencia]]-Tabla1[[#This Row],[Estacionalidad]]</f>
        <v>6.9763127569445638E-2</v>
      </c>
    </row>
    <row r="197" spans="1:9" x14ac:dyDescent="0.25">
      <c r="A197" t="s">
        <v>198</v>
      </c>
      <c r="B197" s="1">
        <v>39356</v>
      </c>
      <c r="C197">
        <v>1.1099791399999901</v>
      </c>
      <c r="D197">
        <f t="shared" si="6"/>
        <v>1.1281650166666635</v>
      </c>
      <c r="E197">
        <f t="shared" si="5"/>
        <v>0.96422343388888798</v>
      </c>
      <c r="F197">
        <f>Tabla1[[#This Row],[Cost]]-Tabla1[[#This Row],[Tendencia]]</f>
        <v>0.14575570611110211</v>
      </c>
      <c r="G197">
        <f>MONTH(Tabla1[[#This Row],[fecha]])</f>
        <v>10</v>
      </c>
      <c r="H197">
        <f ca="1">_xlfn.XLOOKUP(Tabla1[[#This Row],[Mes]],$L$2:$L$13,$M$2:$M$13)</f>
        <v>0.13080354874999911</v>
      </c>
      <c r="I197" s="2">
        <f ca="1">Tabla1[[#This Row],[Cost]]-Tabla1[[#This Row],[Tendencia]]-Tabla1[[#This Row],[Estacionalidad]]</f>
        <v>1.4952157361103002E-2</v>
      </c>
    </row>
    <row r="198" spans="1:9" x14ac:dyDescent="0.25">
      <c r="A198" t="s">
        <v>199</v>
      </c>
      <c r="B198" s="1">
        <v>39387</v>
      </c>
      <c r="C198">
        <v>1.1635343</v>
      </c>
      <c r="D198">
        <f t="shared" si="6"/>
        <v>1.1500341466666635</v>
      </c>
      <c r="E198">
        <f t="shared" si="5"/>
        <v>0.97148251722222145</v>
      </c>
      <c r="F198">
        <f>Tabla1[[#This Row],[Cost]]-Tabla1[[#This Row],[Tendencia]]</f>
        <v>0.19205178277777857</v>
      </c>
      <c r="G198">
        <f>MONTH(Tabla1[[#This Row],[fecha]])</f>
        <v>11</v>
      </c>
      <c r="H198">
        <f ca="1">_xlfn.XLOOKUP(Tabla1[[#This Row],[Mes]],$L$2:$L$13,$M$2:$M$13)</f>
        <v>0.14577509868055594</v>
      </c>
      <c r="I198" s="2">
        <f ca="1">Tabla1[[#This Row],[Cost]]-Tabla1[[#This Row],[Tendencia]]-Tabla1[[#This Row],[Estacionalidad]]</f>
        <v>4.6276684097222631E-2</v>
      </c>
    </row>
    <row r="199" spans="1:9" x14ac:dyDescent="0.25">
      <c r="A199" t="s">
        <v>200</v>
      </c>
      <c r="B199" s="1">
        <v>39417</v>
      </c>
      <c r="C199">
        <v>1.1765890000000001</v>
      </c>
      <c r="D199">
        <f t="shared" si="6"/>
        <v>1.1866881</v>
      </c>
      <c r="E199">
        <f>AVERAGE(D194:D205)</f>
        <v>0.96676729499999914</v>
      </c>
      <c r="F199">
        <f>Tabla1[[#This Row],[Cost]]-Tabla1[[#This Row],[Tendencia]]</f>
        <v>0.20982170500000097</v>
      </c>
      <c r="G199">
        <f>MONTH(Tabla1[[#This Row],[fecha]])</f>
        <v>12</v>
      </c>
      <c r="H199">
        <f ca="1">_xlfn.XLOOKUP(Tabla1[[#This Row],[Mes]],$L$2:$L$13,$M$2:$M$13)</f>
        <v>0.24521978491319479</v>
      </c>
      <c r="I199" s="2">
        <f ca="1">Tabla1[[#This Row],[Cost]]-Tabla1[[#This Row],[Tendencia]]-Tabla1[[#This Row],[Estacionalidad]]</f>
        <v>-3.5398079913193825E-2</v>
      </c>
    </row>
    <row r="200" spans="1:9" x14ac:dyDescent="0.25">
      <c r="A200" t="s">
        <v>201</v>
      </c>
      <c r="B200" s="1">
        <v>39448</v>
      </c>
      <c r="C200">
        <v>1.2199409999999999</v>
      </c>
      <c r="D200">
        <f t="shared" si="6"/>
        <v>1.0527840000000002</v>
      </c>
      <c r="I200" s="2"/>
    </row>
    <row r="201" spans="1:9" x14ac:dyDescent="0.25">
      <c r="A201" t="s">
        <v>202</v>
      </c>
      <c r="B201" s="1">
        <v>39479</v>
      </c>
      <c r="C201">
        <v>0.761822</v>
      </c>
      <c r="D201">
        <f t="shared" si="6"/>
        <v>0.87706600000000001</v>
      </c>
      <c r="I201" s="2"/>
    </row>
    <row r="202" spans="1:9" x14ac:dyDescent="0.25">
      <c r="A202" t="s">
        <v>203</v>
      </c>
      <c r="B202" s="1">
        <v>39508</v>
      </c>
      <c r="C202">
        <v>0.64943499999999998</v>
      </c>
      <c r="D202">
        <f t="shared" si="6"/>
        <v>0.74638133333333334</v>
      </c>
      <c r="I202" s="2"/>
    </row>
    <row r="203" spans="1:9" x14ac:dyDescent="0.25">
      <c r="A203" t="s">
        <v>204</v>
      </c>
      <c r="B203" s="1">
        <v>39539</v>
      </c>
      <c r="C203">
        <v>0.82788700000000004</v>
      </c>
      <c r="D203">
        <f t="shared" si="6"/>
        <v>0.76452566666666666</v>
      </c>
      <c r="I203" s="2"/>
    </row>
    <row r="204" spans="1:9" x14ac:dyDescent="0.25">
      <c r="A204" t="s">
        <v>205</v>
      </c>
      <c r="B204" s="1">
        <v>39569</v>
      </c>
      <c r="C204">
        <v>0.81625499999999995</v>
      </c>
      <c r="D204">
        <f t="shared" si="6"/>
        <v>0.80209300000000006</v>
      </c>
      <c r="I204" s="2"/>
    </row>
    <row r="205" spans="1:9" x14ac:dyDescent="0.25">
      <c r="A205" t="s">
        <v>206</v>
      </c>
      <c r="B205" s="1">
        <v>39600</v>
      </c>
      <c r="C205">
        <v>0.76213699999999995</v>
      </c>
      <c r="D205">
        <f t="shared" si="6"/>
        <v>0.78919600000000001</v>
      </c>
      <c r="I205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Generousbead972 Nieves Ochoa</cp:lastModifiedBy>
  <dcterms:created xsi:type="dcterms:W3CDTF">2026-08-28T19:24:49Z</dcterms:created>
  <dcterms:modified xsi:type="dcterms:W3CDTF">2026-08-28T20:11:51Z</dcterms:modified>
</cp:coreProperties>
</file>